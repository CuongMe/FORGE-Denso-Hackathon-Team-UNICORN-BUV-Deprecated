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Dataset" sheetId="1" state="visible" r:id="rId1"/>
  </sheets>
  <definedNames>
    <definedName name="_xlnm._FilterDatabase" localSheetId="0" hidden="1">'Golden Dataset'!$A$9:$AC$43</definedName>
    <definedName name="_xlnm.Print_Titles" localSheetId="0">'Golden Dataset'!$9:$9</definedName>
    <definedName name="_xlnm.Print_Area" localSheetId="0">'Golden Dataset'!$A$1:$AC$43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Yu Gothic"/>
      <b val="1"/>
      <color rgb="00173B63"/>
      <sz val="17"/>
    </font>
    <font>
      <name val="Yu Gothic"/>
      <color rgb="00647789"/>
      <sz val="11"/>
    </font>
    <font>
      <name val="Yu Gothic"/>
      <i val="1"/>
      <color rgb="00647789"/>
      <sz val="9"/>
    </font>
    <font>
      <name val="Yu Gothic"/>
      <b val="1"/>
      <color rgb="00FFFFFF"/>
      <sz val="8"/>
    </font>
    <font>
      <name val="Yu Gothic"/>
      <b val="1"/>
      <color rgb="00173B63"/>
      <sz val="15"/>
    </font>
    <font>
      <name val="Yu Gothic"/>
      <b val="1"/>
      <color rgb="0000A85A"/>
      <sz val="15"/>
    </font>
    <font>
      <name val="Yu Gothic"/>
      <b val="1"/>
      <color rgb="008A5A00"/>
      <sz val="15"/>
    </font>
    <font>
      <name val="Yu Gothic"/>
      <b val="1"/>
      <color rgb="00FFFFFF"/>
      <sz val="9"/>
    </font>
    <font>
      <name val="Yu Gothic"/>
      <color rgb="00253746"/>
      <sz val="9"/>
    </font>
    <font>
      <name val="Yu Gothic"/>
      <b val="1"/>
      <color rgb="0000A85A"/>
      <sz val="9"/>
    </font>
    <font>
      <name val="Yu Gothic"/>
      <b val="1"/>
      <color rgb="008A5A00"/>
      <sz val="9"/>
    </font>
  </fonts>
  <fills count="8">
    <fill>
      <patternFill/>
    </fill>
    <fill>
      <patternFill patternType="gray125"/>
    </fill>
    <fill>
      <patternFill patternType="solid">
        <fgColor rgb="00173B63"/>
      </patternFill>
    </fill>
    <fill>
      <patternFill patternType="solid">
        <fgColor rgb="00EAF0F6"/>
      </patternFill>
    </fill>
    <fill>
      <patternFill patternType="solid">
        <fgColor rgb="00E8F5EE"/>
      </patternFill>
    </fill>
    <fill>
      <patternFill patternType="solid">
        <fgColor rgb="00FFF3D6"/>
      </patternFill>
    </fill>
    <fill>
      <patternFill patternType="solid">
        <fgColor rgb="00F8FAFC"/>
      </patternFill>
    </fill>
    <fill>
      <patternFill patternType="solid">
        <fgColor rgb="00F3F7FA"/>
      </patternFill>
    </fill>
  </fills>
  <borders count="2">
    <border>
      <left/>
      <right/>
      <top/>
      <bottom/>
      <diagonal/>
    </border>
    <border>
      <bottom style="medium">
        <color rgb="0000A85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Continuous" vertical="center"/>
    </xf>
    <xf numFmtId="0" fontId="6" fillId="4" borderId="0" applyAlignment="1" pivotButton="0" quotePrefix="0" xfId="0">
      <alignment horizontal="centerContinuous" vertical="center"/>
    </xf>
    <xf numFmtId="0" fontId="7" fillId="5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9" fillId="6" borderId="0" applyAlignment="1" pivotButton="0" quotePrefix="0" xfId="0">
      <alignment horizontal="center" vertical="top"/>
    </xf>
    <xf numFmtId="0" fontId="9" fillId="5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164" fontId="9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Yu Gothic"/>
        <b val="1"/>
        <color rgb="0000A85A"/>
      </font>
      <fill>
        <patternFill patternType="solid">
          <fgColor rgb="00E8F5EE"/>
        </patternFill>
      </fill>
    </dxf>
    <dxf>
      <font>
        <name val="Yu Gothic"/>
        <b val="1"/>
        <color rgb="00B42318"/>
      </font>
      <fill>
        <patternFill patternType="solid">
          <fgColor rgb="00FCE8E6"/>
        </patternFill>
      </fill>
    </dxf>
    <dxf>
      <font>
        <name val="Yu Gothic"/>
        <b val="1"/>
        <color rgb="008A5A00"/>
      </font>
      <fill>
        <patternFill patternType="solid">
          <fgColor rgb="00FFF3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ldenDataset" displayName="GoldenDataset" ref="A9:AC43" headerRowCount="1">
  <autoFilter ref="A9:AC43"/>
  <tableColumns count="29">
    <tableColumn id="1" name="Case ID"/>
    <tableColumn id="2" name="Question to test"/>
    <tableColumn id="3" name="Test language"/>
    <tableColumn id="4" name="Original question (EN)"/>
    <tableColumn id="5" name="Source language"/>
    <tableColumn id="6" name="Answerable"/>
    <tableColumn id="7" name="Expected answer (test language)"/>
    <tableColumn id="8" name="Reference answer (EN)"/>
    <tableColumn id="9" name="Required facts (test language)"/>
    <tableColumn id="10" name="Required facts (EN)"/>
    <tableColumn id="11" name="Question type"/>
    <tableColumn id="12" name="Difficulty"/>
    <tableColumn id="13" name="Evidence IDs"/>
    <tableColumn id="14" name="Evidence document IDs"/>
    <tableColumn id="15" name="Source file paths"/>
    <tableColumn id="16" name="Page(s)"/>
    <tableColumn id="17" name="Evidence locations"/>
    <tableColumn id="18" name="Evidence quotes"/>
    <tableColumn id="19" name="Evidence chunk IDs"/>
    <tableColumn id="20" name="Source verification status"/>
    <tableColumn id="21" name="Source verification note"/>
    <tableColumn id="22" name="Answer checked"/>
    <tableColumn id="23" name="Evidence verified"/>
    <tableColumn id="24" name="Japanese wording reviewed"/>
    <tableColumn id="25" name="Review readiness"/>
    <tableColumn id="26" name="Reviewer"/>
    <tableColumn id="27" name="Review date"/>
    <tableColumn id="28" name="Sign-off"/>
    <tableColumn id="29" name="Review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0A85A"/>
    <outlinePr summaryBelow="1" summaryRight="1"/>
    <pageSetUpPr autoPageBreaks="0" fitToPage="0"/>
  </sheetPr>
  <dimension ref="A2:AC43"/>
  <sheetViews>
    <sheetView showGridLines="0" zoomScale="75" workbookViewId="0">
      <pane xSplit="2" ySplit="9" topLeftCell="C10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3" customWidth="1" min="3" max="3"/>
    <col width="48" customWidth="1" min="4" max="4"/>
    <col width="13" customWidth="1" min="5" max="5"/>
    <col width="12" customWidth="1" min="6" max="6"/>
    <col width="52" customWidth="1" min="7" max="7"/>
    <col width="52" customWidth="1" min="8" max="8"/>
    <col width="42" customWidth="1" min="9" max="9"/>
    <col width="42" customWidth="1" min="10" max="10"/>
    <col width="28" customWidth="1" min="11" max="11"/>
    <col width="14" customWidth="1" min="12" max="12"/>
    <col width="23" customWidth="1" min="13" max="13"/>
    <col width="24" customWidth="1" min="14" max="14"/>
    <col width="56" customWidth="1" min="15" max="15"/>
    <col width="16" customWidth="1" min="16" max="16"/>
    <col width="54" customWidth="1" min="17" max="17"/>
    <col width="74" customWidth="1" min="18" max="18"/>
    <col width="30" customWidth="1" min="19" max="19"/>
    <col width="40" customWidth="1" min="20" max="20"/>
    <col width="62" customWidth="1" min="21" max="21"/>
    <col width="18" customWidth="1" min="22" max="22"/>
    <col width="18" customWidth="1" min="23" max="23"/>
    <col width="25" customWidth="1" min="24" max="24"/>
    <col width="25" customWidth="1" min="25" max="25"/>
    <col width="22" customWidth="1" min="26" max="26"/>
    <col width="16" customWidth="1" min="27" max="27"/>
    <col width="18" customWidth="1" min="28" max="28"/>
    <col width="52" customWidth="1" min="29" max="29"/>
  </cols>
  <sheetData>
    <row r="2" ht="28" customHeight="1">
      <c r="A2" s="1" t="inlineStr">
        <is>
          <t>FORGE GOLDEN DATASET v2</t>
        </is>
      </c>
    </row>
    <row r="3" ht="20" customHeight="1">
      <c r="A3" s="2" t="inlineStr">
        <is>
          <t>Human review checklist | English baseline with Japanese cases</t>
        </is>
      </c>
    </row>
    <row r="4" ht="18" customHeight="1">
      <c r="A4" s="3" t="inlineStr">
        <is>
          <t>34 answerable cases across 17 source files. Japanese questions, answers and required facts are draft translations; English originals and evidence remain unchanged.</t>
        </is>
      </c>
    </row>
    <row r="5" ht="22" customHeight="1">
      <c r="A5" s="4" t="inlineStr">
        <is>
          <t>TOTAL CASES</t>
        </is>
      </c>
      <c r="C5" s="4" t="inlineStr">
        <is>
          <t>JAPANESE CASES</t>
        </is>
      </c>
      <c r="E5" s="4" t="inlineStr">
        <is>
          <t>ACCEPTED</t>
        </is>
      </c>
      <c r="G5" s="4" t="inlineStr">
        <is>
          <t>REVIEW REQUIRED</t>
        </is>
      </c>
    </row>
    <row r="6" ht="28" customHeight="1">
      <c r="A6" s="5">
        <f>COUNTA($A$10:$A$43)</f>
        <v/>
      </c>
      <c r="C6" s="6">
        <f>COUNTIF($C$10:$C$43,"ja")</f>
        <v/>
      </c>
      <c r="E6" s="5">
        <f>COUNTIF($AB$10:$AB$43,"Accepted")</f>
        <v/>
      </c>
      <c r="G6" s="7">
        <f>COUNTIF($Y$10:$Y$43,"Review required")</f>
        <v/>
      </c>
    </row>
    <row r="8" ht="18" customHeight="1">
      <c r="A8" s="8" t="inlineStr">
        <is>
          <t>Review answer and evidence against the source before accepting. Approve Japanese wording before scoring Japanese cases.</t>
        </is>
      </c>
    </row>
    <row r="9" ht="42" customHeight="1">
      <c r="A9" s="9" t="inlineStr">
        <is>
          <t>Case ID</t>
        </is>
      </c>
      <c r="B9" s="9" t="inlineStr">
        <is>
          <t>Question to test</t>
        </is>
      </c>
      <c r="C9" s="9" t="inlineStr">
        <is>
          <t>Test language</t>
        </is>
      </c>
      <c r="D9" s="9" t="inlineStr">
        <is>
          <t>Original question (EN)</t>
        </is>
      </c>
      <c r="E9" s="9" t="inlineStr">
        <is>
          <t>Source language</t>
        </is>
      </c>
      <c r="F9" s="9" t="inlineStr">
        <is>
          <t>Answerable</t>
        </is>
      </c>
      <c r="G9" s="9" t="inlineStr">
        <is>
          <t>Expected answer (test language)</t>
        </is>
      </c>
      <c r="H9" s="9" t="inlineStr">
        <is>
          <t>Reference answer (EN)</t>
        </is>
      </c>
      <c r="I9" s="9" t="inlineStr">
        <is>
          <t>Required facts (test language)</t>
        </is>
      </c>
      <c r="J9" s="9" t="inlineStr">
        <is>
          <t>Required facts (EN)</t>
        </is>
      </c>
      <c r="K9" s="9" t="inlineStr">
        <is>
          <t>Question type</t>
        </is>
      </c>
      <c r="L9" s="9" t="inlineStr">
        <is>
          <t>Difficulty</t>
        </is>
      </c>
      <c r="M9" s="9" t="inlineStr">
        <is>
          <t>Evidence IDs</t>
        </is>
      </c>
      <c r="N9" s="9" t="inlineStr">
        <is>
          <t>Evidence document IDs</t>
        </is>
      </c>
      <c r="O9" s="9" t="inlineStr">
        <is>
          <t>Source file paths</t>
        </is>
      </c>
      <c r="P9" s="9" t="inlineStr">
        <is>
          <t>Page(s)</t>
        </is>
      </c>
      <c r="Q9" s="9" t="inlineStr">
        <is>
          <t>Evidence locations</t>
        </is>
      </c>
      <c r="R9" s="9" t="inlineStr">
        <is>
          <t>Evidence quotes</t>
        </is>
      </c>
      <c r="S9" s="9" t="inlineStr">
        <is>
          <t>Evidence chunk IDs</t>
        </is>
      </c>
      <c r="T9" s="9" t="inlineStr">
        <is>
          <t>Source verification status</t>
        </is>
      </c>
      <c r="U9" s="9" t="inlineStr">
        <is>
          <t>Source verification note</t>
        </is>
      </c>
      <c r="V9" s="9" t="inlineStr">
        <is>
          <t>Answer checked</t>
        </is>
      </c>
      <c r="W9" s="9" t="inlineStr">
        <is>
          <t>Evidence verified</t>
        </is>
      </c>
      <c r="X9" s="9" t="inlineStr">
        <is>
          <t>Japanese wording reviewed</t>
        </is>
      </c>
      <c r="Y9" s="9" t="inlineStr">
        <is>
          <t>Review readiness</t>
        </is>
      </c>
      <c r="Z9" s="9" t="inlineStr">
        <is>
          <t>Reviewer</t>
        </is>
      </c>
      <c r="AA9" s="9" t="inlineStr">
        <is>
          <t>Review date</t>
        </is>
      </c>
      <c r="AB9" s="9" t="inlineStr">
        <is>
          <t>Sign-off</t>
        </is>
      </c>
      <c r="AC9" s="9" t="inlineStr">
        <is>
          <t>Review notes</t>
        </is>
      </c>
    </row>
    <row r="10" ht="42" customHeight="1">
      <c r="A10" s="10" t="inlineStr">
        <is>
          <t>G101</t>
        </is>
      </c>
      <c r="B10" s="11" t="inlineStr">
        <is>
          <t>ECUブラケットの組立に指定されている治具とバーコードスキャナーは何ですか。</t>
        </is>
      </c>
      <c r="C10" s="12" t="inlineStr">
        <is>
          <t>ja</t>
        </is>
      </c>
      <c r="D10" s="10" t="inlineStr">
        <is>
          <t>Which fixture and barcode scanner are specified for the ECU bracket assembly?</t>
        </is>
      </c>
      <c r="E10" s="10" t="inlineStr">
        <is>
          <t>en</t>
        </is>
      </c>
      <c r="F10" s="13" t="b">
        <v>1</v>
      </c>
      <c r="G10" s="10" t="inlineStr">
        <is>
          <t>治具F-ECU-03とバーコードスキャナーSC-09を使用します。</t>
        </is>
      </c>
      <c r="H10" s="10" t="inlineStr">
        <is>
          <t>Use fixture F-ECU-03 and barcode scanner SC-09.</t>
        </is>
      </c>
      <c r="I10" s="10" t="inlineStr">
        <is>
          <t>治具F-ECU-03
バーコードスキャナーSC-09</t>
        </is>
      </c>
      <c r="J10" s="10" t="inlineStr">
        <is>
          <t>Fixture F-ECU-03
Barcode scanner SC-09</t>
        </is>
      </c>
      <c r="K10" s="10" t="inlineStr">
        <is>
          <t>equipment_lookup</t>
        </is>
      </c>
      <c r="L10" s="10" t="inlineStr">
        <is>
          <t>easy</t>
        </is>
      </c>
      <c r="M10" s="10" t="inlineStr">
        <is>
          <t>EV-G101-01</t>
        </is>
      </c>
      <c r="N10" s="10" t="inlineStr">
        <is>
          <t>WI-ASSY-001</t>
        </is>
      </c>
      <c r="O10" s="10" t="inlineStr">
        <is>
          <t>data/denso_factory_hack_data_prep/pdfs/WI-ASSY-001_Torque_Control_Work_Instruction_EN.pdf</t>
        </is>
      </c>
      <c r="P10" s="13" t="inlineStr">
        <is>
          <t>1</t>
        </is>
      </c>
      <c r="Q10" s="10" t="inlineStr">
        <is>
          <t>Required equipment</t>
        </is>
      </c>
      <c r="R10" s="10" t="inlineStr">
        <is>
          <t>Fixture F-ECU-03 and barcode scanner SC-09.</t>
        </is>
      </c>
      <c r="S10" s="10" t="inlineStr">
        <is>
          <t>G101-E01</t>
        </is>
      </c>
      <c r="T10" s="10" t="inlineStr">
        <is>
          <t>source_verified_pending_human_signoff</t>
        </is>
      </c>
      <c r="U10" s="10" t="inlineStr">
        <is>
          <t>Answer and locator checked against the current synthetic source pack; human sign-off is still pending.</t>
        </is>
      </c>
      <c r="V10" s="14" t="inlineStr">
        <is>
          <t>Pending</t>
        </is>
      </c>
      <c r="W10" s="14" t="inlineStr">
        <is>
          <t>Pending</t>
        </is>
      </c>
      <c r="X10" s="14" t="inlineStr">
        <is>
          <t>Pending</t>
        </is>
      </c>
      <c r="Y10" s="15">
        <f>IF($AB10="Rejected","Rejected - revise",IF(AND($V10="Yes",$W10="Yes",OR($X10="Approved",$X10="N/A")),"Ready for sign-off","Review required"))</f>
        <v/>
      </c>
      <c r="Z10" s="14" t="inlineStr"/>
      <c r="AA10" s="16" t="n"/>
      <c r="AB10" s="14" t="inlineStr">
        <is>
          <t>Pending</t>
        </is>
      </c>
      <c r="AC10" s="14" t="inlineStr"/>
    </row>
    <row r="11" ht="52" customHeight="1">
      <c r="A11" s="17" t="inlineStr">
        <is>
          <t>G102</t>
        </is>
      </c>
      <c r="B11" s="17" t="inlineStr">
        <is>
          <t>What records must be scanned and uploaded before an assembled unit can be released?</t>
        </is>
      </c>
      <c r="C11" s="17" t="inlineStr">
        <is>
          <t>en</t>
        </is>
      </c>
      <c r="D11" s="17" t="inlineStr">
        <is>
          <t>What records must be scanned and uploaded before an assembled unit can be released?</t>
        </is>
      </c>
      <c r="E11" s="17" t="inlineStr">
        <is>
          <t>en</t>
        </is>
      </c>
      <c r="F11" s="18" t="b">
        <v>1</v>
      </c>
      <c r="G11" s="17" t="inlineStr">
        <is>
          <t>The unit barcode and tool result must be scanned, and the tool result must upload successfully. The unit must not be released without a successful scan.</t>
        </is>
      </c>
      <c r="H11" s="17" t="inlineStr">
        <is>
          <t>The unit barcode and tool result must be scanned, and the tool result must upload successfully. The unit must not be released without a successful scan.</t>
        </is>
      </c>
      <c r="I11" s="17" t="inlineStr">
        <is>
          <t>Part and tool result are required
Tool result uploads successfully
Do not release without successful scan</t>
        </is>
      </c>
      <c r="J11" s="17" t="inlineStr">
        <is>
          <t>Part and tool result are required
Tool result uploads successfully
Do not release without successful scan</t>
        </is>
      </c>
      <c r="K11" s="17" t="inlineStr">
        <is>
          <t>release_condition</t>
        </is>
      </c>
      <c r="L11" s="17" t="inlineStr">
        <is>
          <t>medium</t>
        </is>
      </c>
      <c r="M11" s="17" t="inlineStr">
        <is>
          <t>EV-G102-01
EV-G102-02</t>
        </is>
      </c>
      <c r="N11" s="17" t="inlineStr">
        <is>
          <t>WI-ASSY-001</t>
        </is>
      </c>
      <c r="O11" s="17" t="inlineStr">
        <is>
          <t>data/denso_factory_hack_data_prep/pdfs/WI-ASSY-001_Torque_Control_Work_Instruction_EN.pdf</t>
        </is>
      </c>
      <c r="P11" s="18" t="inlineStr">
        <is>
          <t>1</t>
        </is>
      </c>
      <c r="Q11" s="17" t="inlineStr">
        <is>
          <t>Critical specifications - Traceability scan
Procedure - Step 5</t>
        </is>
      </c>
      <c r="R11" s="17" t="inlineStr">
        <is>
          <t>Traceability scan | Part + tool result required | Do not release unit without successful scan
Scan the unit barcode; confirm the tool result uploads successfully.</t>
        </is>
      </c>
      <c r="S11" s="17" t="inlineStr">
        <is>
          <t>G102-E01
G102-E02</t>
        </is>
      </c>
      <c r="T11" s="17" t="inlineStr">
        <is>
          <t>source_verified_pending_human_signoff</t>
        </is>
      </c>
      <c r="U11" s="17" t="inlineStr">
        <is>
          <t>Answer and locator checked against the current synthetic source pack; human sign-off is still pending.</t>
        </is>
      </c>
      <c r="V11" s="14" t="inlineStr">
        <is>
          <t>Pending</t>
        </is>
      </c>
      <c r="W11" s="14" t="inlineStr">
        <is>
          <t>Pending</t>
        </is>
      </c>
      <c r="X11" s="14" t="inlineStr">
        <is>
          <t>N/A</t>
        </is>
      </c>
      <c r="Y11" s="15">
        <f>IF($AB11="Rejected","Rejected - revise",IF(AND($V11="Yes",$W11="Yes",OR($X11="Approved",$X11="N/A")),"Ready for sign-off","Review required"))</f>
        <v/>
      </c>
      <c r="Z11" s="14" t="inlineStr"/>
      <c r="AA11" s="16" t="n"/>
      <c r="AB11" s="14" t="inlineStr">
        <is>
          <t>Pending</t>
        </is>
      </c>
      <c r="AC11" s="14" t="inlineStr"/>
    </row>
    <row r="12" ht="42" customHeight="1">
      <c r="A12" s="10" t="inlineStr">
        <is>
          <t>G103</t>
        </is>
      </c>
      <c r="B12" s="10" t="inlineStr">
        <is>
          <t>What is the stated purpose of the defect-handling SOP?</t>
        </is>
      </c>
      <c r="C12" s="10" t="inlineStr">
        <is>
          <t>en</t>
        </is>
      </c>
      <c r="D12" s="10" t="inlineStr">
        <is>
          <t>What is the stated purpose of the defect-handling SOP?</t>
        </is>
      </c>
      <c r="E12" s="10" t="inlineStr">
        <is>
          <t>en</t>
        </is>
      </c>
      <c r="F12" s="13" t="b">
        <v>1</v>
      </c>
      <c r="G12" s="10" t="inlineStr">
        <is>
          <t>It standardizes the quarantine, recording, and escalation of nonconforming parts.</t>
        </is>
      </c>
      <c r="H12" s="10" t="inlineStr">
        <is>
          <t>It standardizes the quarantine, recording, and escalation of nonconforming parts.</t>
        </is>
      </c>
      <c r="I12" s="10" t="inlineStr">
        <is>
          <t>Standardize quarantine
Record and escalate nonconforming parts</t>
        </is>
      </c>
      <c r="J12" s="10" t="inlineStr">
        <is>
          <t>Standardize quarantine
Record and escalate nonconforming parts</t>
        </is>
      </c>
      <c r="K12" s="10" t="inlineStr">
        <is>
          <t>document_purpose</t>
        </is>
      </c>
      <c r="L12" s="10" t="inlineStr">
        <is>
          <t>easy</t>
        </is>
      </c>
      <c r="M12" s="10" t="inlineStr">
        <is>
          <t>EV-G103-01</t>
        </is>
      </c>
      <c r="N12" s="10" t="inlineStr">
        <is>
          <t>SOP-QLT-014</t>
        </is>
      </c>
      <c r="O12" s="10" t="inlineStr">
        <is>
          <t>data/denso_factory_hack_data_prep/pdfs/SOP-QLT-014_Defect_Handling_EN-VI.pdf</t>
        </is>
      </c>
      <c r="P12" s="13" t="inlineStr">
        <is>
          <t>1</t>
        </is>
      </c>
      <c r="Q12" s="10" t="inlineStr">
        <is>
          <t>Purpose</t>
        </is>
      </c>
      <c r="R12" s="10" t="inlineStr">
        <is>
          <t>EN: Standardize the quarantine, recording, and escalation of nonconforming parts.</t>
        </is>
      </c>
      <c r="S12" s="10" t="inlineStr">
        <is>
          <t>G103-E01</t>
        </is>
      </c>
      <c r="T12" s="10" t="inlineStr">
        <is>
          <t>source_verified_pending_human_signoff</t>
        </is>
      </c>
      <c r="U12" s="10" t="inlineStr">
        <is>
          <t>Answer and locator checked against the current synthetic source pack; human sign-off is still pending.</t>
        </is>
      </c>
      <c r="V12" s="14" t="inlineStr">
        <is>
          <t>Pending</t>
        </is>
      </c>
      <c r="W12" s="14" t="inlineStr">
        <is>
          <t>Pending</t>
        </is>
      </c>
      <c r="X12" s="14" t="inlineStr">
        <is>
          <t>N/A</t>
        </is>
      </c>
      <c r="Y12" s="15">
        <f>IF($AB12="Rejected","Rejected - revise",IF(AND($V12="Yes",$W12="Yes",OR($X12="Approved",$X12="N/A")),"Ready for sign-off","Review required"))</f>
        <v/>
      </c>
      <c r="Z12" s="14" t="inlineStr"/>
      <c r="AA12" s="16" t="n"/>
      <c r="AB12" s="14" t="inlineStr">
        <is>
          <t>Pending</t>
        </is>
      </c>
      <c r="AC12" s="14" t="inlineStr"/>
    </row>
    <row r="13" ht="42" customHeight="1">
      <c r="A13" s="17" t="inlineStr">
        <is>
          <t>G104</t>
        </is>
      </c>
      <c r="B13" s="11" t="inlineStr">
        <is>
          <t>不良を検出した後、部品を次工程へ流す前に何を行う必要がありますか。</t>
        </is>
      </c>
      <c r="C13" s="19" t="inlineStr">
        <is>
          <t>ja</t>
        </is>
      </c>
      <c r="D13" s="17" t="inlineStr">
        <is>
          <t>After detecting a defect, what must happen before the part continues to the next process?</t>
        </is>
      </c>
      <c r="E13" s="17" t="inlineStr">
        <is>
          <t>en</t>
        </is>
      </c>
      <c r="F13" s="18" t="b">
        <v>1</v>
      </c>
      <c r="G13" s="17" t="inlineStr">
        <is>
          <t>部品が次工程へ進まないように停止します。</t>
        </is>
      </c>
      <c r="H13" s="17" t="inlineStr">
        <is>
          <t>Stop the part from moving to the next process.</t>
        </is>
      </c>
      <c r="I13" s="17" t="inlineStr">
        <is>
          <t>次工程への部品の移動を停止する</t>
        </is>
      </c>
      <c r="J13" s="17" t="inlineStr">
        <is>
          <t>Stop movement to the next process</t>
        </is>
      </c>
      <c r="K13" s="17" t="inlineStr">
        <is>
          <t>procedure</t>
        </is>
      </c>
      <c r="L13" s="17" t="inlineStr">
        <is>
          <t>easy</t>
        </is>
      </c>
      <c r="M13" s="17" t="inlineStr">
        <is>
          <t>EV-G104-01</t>
        </is>
      </c>
      <c r="N13" s="17" t="inlineStr">
        <is>
          <t>SOP-QLT-014</t>
        </is>
      </c>
      <c r="O13" s="17" t="inlineStr">
        <is>
          <t>data/denso_factory_hack_data_prep/pdfs/SOP-QLT-014_Defect_Handling_EN-VI.pdf</t>
        </is>
      </c>
      <c r="P13" s="18" t="inlineStr">
        <is>
          <t>1</t>
        </is>
      </c>
      <c r="Q13" s="17" t="inlineStr">
        <is>
          <t>Procedure - Step 1</t>
        </is>
      </c>
      <c r="R13" s="17" t="inlineStr">
        <is>
          <t>EN: Detect the defect and stop the part from moving to the next process.</t>
        </is>
      </c>
      <c r="S13" s="17" t="inlineStr">
        <is>
          <t>G104-E01</t>
        </is>
      </c>
      <c r="T13" s="17" t="inlineStr">
        <is>
          <t>source_verified_pending_human_signoff</t>
        </is>
      </c>
      <c r="U13" s="17" t="inlineStr">
        <is>
          <t>Answer and locator checked against the current synthetic source pack; human sign-off is still pending.</t>
        </is>
      </c>
      <c r="V13" s="14" t="inlineStr">
        <is>
          <t>Pending</t>
        </is>
      </c>
      <c r="W13" s="14" t="inlineStr">
        <is>
          <t>Pending</t>
        </is>
      </c>
      <c r="X13" s="14" t="inlineStr">
        <is>
          <t>Pending</t>
        </is>
      </c>
      <c r="Y13" s="15">
        <f>IF($AB13="Rejected","Rejected - revise",IF(AND($V13="Yes",$W13="Yes",OR($X13="Approved",$X13="N/A")),"Ready for sign-off","Review required"))</f>
        <v/>
      </c>
      <c r="Z13" s="14" t="inlineStr"/>
      <c r="AA13" s="16" t="n"/>
      <c r="AB13" s="14" t="inlineStr">
        <is>
          <t>Pending</t>
        </is>
      </c>
      <c r="AC13" s="14" t="inlineStr"/>
    </row>
    <row r="14" ht="52" customHeight="1">
      <c r="A14" s="10" t="inlineStr">
        <is>
          <t>G105</t>
        </is>
      </c>
      <c r="B14" s="10" t="inlineStr">
        <is>
          <t>What servo-motor temperature was recorded, and what limit does the checklist set?</t>
        </is>
      </c>
      <c r="C14" s="10" t="inlineStr">
        <is>
          <t>en</t>
        </is>
      </c>
      <c r="D14" s="10" t="inlineStr">
        <is>
          <t>What servo-motor temperature was recorded, and what limit does the checklist set?</t>
        </is>
      </c>
      <c r="E14" s="10" t="inlineStr">
        <is>
          <t>en</t>
        </is>
      </c>
      <c r="F14" s="13" t="b">
        <v>1</v>
      </c>
      <c r="G14" s="10" t="inlineStr">
        <is>
          <t>The recorded temperature was 58 °C; the checklist limit is below 65 °C, and the item was marked OK.</t>
        </is>
      </c>
      <c r="H14" s="10" t="inlineStr">
        <is>
          <t>The recorded temperature was 58 °C; the checklist limit is below 65 °C, and the item was marked OK.</t>
        </is>
      </c>
      <c r="I14" s="10" t="inlineStr">
        <is>
          <t>Recorded temperature 58 C
Limit below 65 C
Status OK</t>
        </is>
      </c>
      <c r="J14" s="10" t="inlineStr">
        <is>
          <t>Recorded temperature 58 C
Limit below 65 C
Status OK</t>
        </is>
      </c>
      <c r="K14" s="10" t="inlineStr">
        <is>
          <t>numeric_table_lookup</t>
        </is>
      </c>
      <c r="L14" s="10" t="inlineStr">
        <is>
          <t>medium</t>
        </is>
      </c>
      <c r="M14" s="10" t="inlineStr">
        <is>
          <t>EV-G105-01</t>
        </is>
      </c>
      <c r="N14" s="10" t="inlineStr">
        <is>
          <t>MAINT-CHK-007</t>
        </is>
      </c>
      <c r="O14" s="10" t="inlineStr">
        <is>
          <t>data/denso_factory_hack_data_prep/pdfs/MAINT-CHK-007_PM_Checklist.pdf</t>
        </is>
      </c>
      <c r="P14" s="13" t="inlineStr">
        <is>
          <t>1</t>
        </is>
      </c>
      <c r="Q14" s="10" t="inlineStr">
        <is>
          <t>Preventive maintenance checklist - Servo motor temperature</t>
        </is>
      </c>
      <c r="R14" s="10" t="inlineStr">
        <is>
          <t>Servo motor temperature | Monthly | &lt; 65 °C | 58 °C | OK</t>
        </is>
      </c>
      <c r="S14" s="10" t="inlineStr">
        <is>
          <t>G105-E01</t>
        </is>
      </c>
      <c r="T14" s="10" t="inlineStr">
        <is>
          <t>source_verified_pending_human_signoff</t>
        </is>
      </c>
      <c r="U14" s="10" t="inlineStr">
        <is>
          <t>Answer and locator checked against the current synthetic source pack; human sign-off is still pending.</t>
        </is>
      </c>
      <c r="V14" s="14" t="inlineStr">
        <is>
          <t>Pending</t>
        </is>
      </c>
      <c r="W14" s="14" t="inlineStr">
        <is>
          <t>Pending</t>
        </is>
      </c>
      <c r="X14" s="14" t="inlineStr">
        <is>
          <t>N/A</t>
        </is>
      </c>
      <c r="Y14" s="15">
        <f>IF($AB14="Rejected","Rejected - revise",IF(AND($V14="Yes",$W14="Yes",OR($X14="Approved",$X14="N/A")),"Ready for sign-off","Review required"))</f>
        <v/>
      </c>
      <c r="Z14" s="14" t="inlineStr"/>
      <c r="AA14" s="16" t="n"/>
      <c r="AB14" s="14" t="inlineStr">
        <is>
          <t>Pending</t>
        </is>
      </c>
      <c r="AC14" s="14" t="inlineStr"/>
    </row>
    <row r="15" ht="52" customHeight="1">
      <c r="A15" s="17" t="inlineStr">
        <is>
          <t>G106</t>
        </is>
      </c>
      <c r="B15" s="17" t="inlineStr">
        <is>
          <t>What reading and limit are shown for the main filter differential pressure?</t>
        </is>
      </c>
      <c r="C15" s="17" t="inlineStr">
        <is>
          <t>en</t>
        </is>
      </c>
      <c r="D15" s="17" t="inlineStr">
        <is>
          <t>What reading and limit are shown for the main filter differential pressure?</t>
        </is>
      </c>
      <c r="E15" s="17" t="inlineStr">
        <is>
          <t>en</t>
        </is>
      </c>
      <c r="F15" s="18" t="b">
        <v>1</v>
      </c>
      <c r="G15" s="17" t="inlineStr">
        <is>
          <t>The reading was 0.09 MPa against a limit below 0.12 MPa; status was OK.</t>
        </is>
      </c>
      <c r="H15" s="17" t="inlineStr">
        <is>
          <t>The reading was 0.09 MPa against a limit below 0.12 MPa; status was OK.</t>
        </is>
      </c>
      <c r="I15" s="17" t="inlineStr">
        <is>
          <t>Reading 0.09 MPa
Limit below 0.12 MPa
Status OK</t>
        </is>
      </c>
      <c r="J15" s="17" t="inlineStr">
        <is>
          <t>Reading 0.09 MPa
Limit below 0.12 MPa
Status OK</t>
        </is>
      </c>
      <c r="K15" s="17" t="inlineStr">
        <is>
          <t>numeric_table_lookup</t>
        </is>
      </c>
      <c r="L15" s="17" t="inlineStr">
        <is>
          <t>medium</t>
        </is>
      </c>
      <c r="M15" s="17" t="inlineStr">
        <is>
          <t>EV-G106-01</t>
        </is>
      </c>
      <c r="N15" s="17" t="inlineStr">
        <is>
          <t>MAINT-CHK-007</t>
        </is>
      </c>
      <c r="O15" s="17" t="inlineStr">
        <is>
          <t>data/denso_factory_hack_data_prep/pdfs/MAINT-CHK-007_PM_Checklist.pdf</t>
        </is>
      </c>
      <c r="P15" s="18" t="inlineStr">
        <is>
          <t>1</t>
        </is>
      </c>
      <c r="Q15" s="17" t="inlineStr">
        <is>
          <t>Preventive maintenance checklist - Main filter differential pressure</t>
        </is>
      </c>
      <c r="R15" s="17" t="inlineStr">
        <is>
          <t>Main filter differential pressure | Monthly | &lt; 0.12 MPa | 0.09 MPa | OK</t>
        </is>
      </c>
      <c r="S15" s="17" t="inlineStr">
        <is>
          <t>G106-E01</t>
        </is>
      </c>
      <c r="T15" s="17" t="inlineStr">
        <is>
          <t>source_verified_pending_human_signoff</t>
        </is>
      </c>
      <c r="U15" s="17" t="inlineStr">
        <is>
          <t>Answer and locator checked against the current synthetic source pack; human sign-off is still pending.</t>
        </is>
      </c>
      <c r="V15" s="14" t="inlineStr">
        <is>
          <t>Pending</t>
        </is>
      </c>
      <c r="W15" s="14" t="inlineStr">
        <is>
          <t>Pending</t>
        </is>
      </c>
      <c r="X15" s="14" t="inlineStr">
        <is>
          <t>N/A</t>
        </is>
      </c>
      <c r="Y15" s="15">
        <f>IF($AB15="Rejected","Rejected - revise",IF(AND($V15="Yes",$W15="Yes",OR($X15="Approved",$X15="N/A")),"Ready for sign-off","Review required"))</f>
        <v/>
      </c>
      <c r="Z15" s="14" t="inlineStr"/>
      <c r="AA15" s="16" t="n"/>
      <c r="AB15" s="14" t="inlineStr">
        <is>
          <t>Pending</t>
        </is>
      </c>
      <c r="AC15" s="14" t="inlineStr"/>
    </row>
    <row r="16" ht="52" customHeight="1">
      <c r="A16" s="10" t="inlineStr">
        <is>
          <t>G107</t>
        </is>
      </c>
      <c r="B16" s="11" t="inlineStr">
        <is>
          <t>LOTOアラートに記載されている緊急連絡先と集合場所はどこですか。</t>
        </is>
      </c>
      <c r="C16" s="12" t="inlineStr">
        <is>
          <t>ja</t>
        </is>
      </c>
      <c r="D16" s="10" t="inlineStr">
        <is>
          <t>Which emergency contacts and muster point are listed in the LOTO alert?</t>
        </is>
      </c>
      <c r="E16" s="10" t="inlineStr">
        <is>
          <t>en</t>
        </is>
      </c>
      <c r="F16" s="13" t="b">
        <v>1</v>
      </c>
      <c r="G16" s="10" t="inlineStr">
        <is>
          <t>EHS窓口（内線555）、保全リーダー（内線431）、集合場所はGate 2の組立ヤードです。</t>
        </is>
      </c>
      <c r="H16" s="10" t="inlineStr">
        <is>
          <t>EHS desk extension 555, Maintenance lead extension 431, and Gate 2 assembly yard.</t>
        </is>
      </c>
      <c r="I16" s="10" t="inlineStr">
        <is>
          <t>EHS窓口の内線555
保全リーダーの内線431
集合場所はGate 2の組立ヤード</t>
        </is>
      </c>
      <c r="J16" s="10" t="inlineStr">
        <is>
          <t>EHS desk extension 555
Maintenance lead extension 431
Muster point Gate 2 assembly yard</t>
        </is>
      </c>
      <c r="K16" s="10" t="inlineStr">
        <is>
          <t>contact_lookup</t>
        </is>
      </c>
      <c r="L16" s="10" t="inlineStr">
        <is>
          <t>easy</t>
        </is>
      </c>
      <c r="M16" s="10" t="inlineStr">
        <is>
          <t>EV-G107-01</t>
        </is>
      </c>
      <c r="N16" s="10" t="inlineStr">
        <is>
          <t>EHS-ALERT-003</t>
        </is>
      </c>
      <c r="O16" s="10" t="inlineStr">
        <is>
          <t>data/denso_factory_hack_data_prep/pdfs/EHS-ALERT-003_Lockout_Tagout_EN-VI.pdf</t>
        </is>
      </c>
      <c r="P16" s="13" t="inlineStr">
        <is>
          <t>1</t>
        </is>
      </c>
      <c r="Q16" s="10" t="inlineStr">
        <is>
          <t>Emergency contact</t>
        </is>
      </c>
      <c r="R16" s="10" t="inlineStr">
        <is>
          <t>EHS desk: extension 555 | Maintenance lead: extension 431 | Muster point: Gate 2 assembly yard</t>
        </is>
      </c>
      <c r="S16" s="10" t="inlineStr">
        <is>
          <t>G107-E01</t>
        </is>
      </c>
      <c r="T16" s="10" t="inlineStr">
        <is>
          <t>source_verified_pending_human_signoff</t>
        </is>
      </c>
      <c r="U16" s="10" t="inlineStr">
        <is>
          <t>Answer and locator checked against the current synthetic source pack; human sign-off is still pending.</t>
        </is>
      </c>
      <c r="V16" s="14" t="inlineStr">
        <is>
          <t>Pending</t>
        </is>
      </c>
      <c r="W16" s="14" t="inlineStr">
        <is>
          <t>Pending</t>
        </is>
      </c>
      <c r="X16" s="14" t="inlineStr">
        <is>
          <t>Pending</t>
        </is>
      </c>
      <c r="Y16" s="15">
        <f>IF($AB16="Rejected","Rejected - revise",IF(AND($V16="Yes",$W16="Yes",OR($X16="Approved",$X16="N/A")),"Ready for sign-off","Review required"))</f>
        <v/>
      </c>
      <c r="Z16" s="14" t="inlineStr"/>
      <c r="AA16" s="16" t="n"/>
      <c r="AB16" s="14" t="inlineStr">
        <is>
          <t>Pending</t>
        </is>
      </c>
      <c r="AC16" s="14" t="inlineStr"/>
    </row>
    <row r="17" ht="42" customHeight="1">
      <c r="A17" s="17" t="inlineStr">
        <is>
          <t>G108</t>
        </is>
      </c>
      <c r="B17" s="17" t="inlineStr">
        <is>
          <t>After attempting a start to verify zero energy, what should the operator do with the controls?</t>
        </is>
      </c>
      <c r="C17" s="17" t="inlineStr">
        <is>
          <t>en</t>
        </is>
      </c>
      <c r="D17" s="17" t="inlineStr">
        <is>
          <t>After attempting a start to verify zero energy, what should the operator do with the controls?</t>
        </is>
      </c>
      <c r="E17" s="17" t="inlineStr">
        <is>
          <t>en</t>
        </is>
      </c>
      <c r="F17" s="18" t="b">
        <v>1</v>
      </c>
      <c r="G17" s="17" t="inlineStr">
        <is>
          <t>Return the controls to OFF.</t>
        </is>
      </c>
      <c r="H17" s="17" t="inlineStr">
        <is>
          <t>Return the controls to OFF.</t>
        </is>
      </c>
      <c r="I17" s="17" t="inlineStr">
        <is>
          <t>Return controls to OFF</t>
        </is>
      </c>
      <c r="J17" s="17" t="inlineStr">
        <is>
          <t>Return controls to OFF</t>
        </is>
      </c>
      <c r="K17" s="17" t="inlineStr">
        <is>
          <t>safety_procedure</t>
        </is>
      </c>
      <c r="L17" s="17" t="inlineStr">
        <is>
          <t>medium</t>
        </is>
      </c>
      <c r="M17" s="17" t="inlineStr">
        <is>
          <t>EV-G108-01</t>
        </is>
      </c>
      <c r="N17" s="17" t="inlineStr">
        <is>
          <t>EHS-ALERT-003</t>
        </is>
      </c>
      <c r="O17" s="17" t="inlineStr">
        <is>
          <t>data/denso_factory_hack_data_prep/pdfs/EHS-ALERT-003_Lockout_Tagout_EN-VI.pdf</t>
        </is>
      </c>
      <c r="P17" s="18" t="inlineStr">
        <is>
          <t>1</t>
        </is>
      </c>
      <c r="Q17" s="17" t="inlineStr">
        <is>
          <t>LOTO steps - Step 6</t>
        </is>
      </c>
      <c r="R17" s="17" t="inlineStr">
        <is>
          <t>EN: Attempt a start to verify zero-energy state, then return controls to OFF.</t>
        </is>
      </c>
      <c r="S17" s="17" t="inlineStr">
        <is>
          <t>G108-E01</t>
        </is>
      </c>
      <c r="T17" s="17" t="inlineStr">
        <is>
          <t>source_verified_pending_human_signoff</t>
        </is>
      </c>
      <c r="U17" s="17" t="inlineStr">
        <is>
          <t>Answer and locator checked against the current synthetic source pack; human sign-off is still pending.</t>
        </is>
      </c>
      <c r="V17" s="14" t="inlineStr">
        <is>
          <t>Pending</t>
        </is>
      </c>
      <c r="W17" s="14" t="inlineStr">
        <is>
          <t>Pending</t>
        </is>
      </c>
      <c r="X17" s="14" t="inlineStr">
        <is>
          <t>N/A</t>
        </is>
      </c>
      <c r="Y17" s="15">
        <f>IF($AB17="Rejected","Rejected - revise",IF(AND($V17="Yes",$W17="Yes",OR($X17="Approved",$X17="N/A")),"Ready for sign-off","Review required"))</f>
        <v/>
      </c>
      <c r="Z17" s="14" t="inlineStr"/>
      <c r="AA17" s="16" t="n"/>
      <c r="AB17" s="14" t="inlineStr">
        <is>
          <t>Pending</t>
        </is>
      </c>
      <c r="AC17" s="14" t="inlineStr"/>
    </row>
    <row r="18" ht="42" customHeight="1">
      <c r="A18" s="10" t="inlineStr">
        <is>
          <t>G109</t>
        </is>
      </c>
      <c r="B18" s="10" t="inlineStr">
        <is>
          <t>At what time was the nonconformance detected, and which gauge is specified for the inspection?</t>
        </is>
      </c>
      <c r="C18" s="10" t="inlineStr">
        <is>
          <t>en</t>
        </is>
      </c>
      <c r="D18" s="10" t="inlineStr">
        <is>
          <t>At what time was the nonconformance detected, and which gauge is specified for the inspection?</t>
        </is>
      </c>
      <c r="E18" s="10" t="inlineStr">
        <is>
          <t>en</t>
        </is>
      </c>
      <c r="F18" s="13" t="b">
        <v>1</v>
      </c>
      <c r="G18" s="10" t="inlineStr">
        <is>
          <t>It was detected at 2026-09-15 10:18. Use gauge HG-11 to inspect terminal height.</t>
        </is>
      </c>
      <c r="H18" s="10" t="inlineStr">
        <is>
          <t>It was detected at 2026-09-15 10:18. Use gauge HG-11 to inspect terminal height.</t>
        </is>
      </c>
      <c r="I18" s="10" t="inlineStr">
        <is>
          <t>Detected at 2026-09-15 10:18
Use gauge HG-11</t>
        </is>
      </c>
      <c r="J18" s="10" t="inlineStr">
        <is>
          <t>Detected at 2026-09-15 10:18
Use gauge HG-11</t>
        </is>
      </c>
      <c r="K18" s="10" t="inlineStr">
        <is>
          <t>form_field_lookup</t>
        </is>
      </c>
      <c r="L18" s="10" t="inlineStr">
        <is>
          <t>medium</t>
        </is>
      </c>
      <c r="M18" s="10" t="inlineStr">
        <is>
          <t>EV-G109-01
EV-G109-02</t>
        </is>
      </c>
      <c r="N18" s="10" t="inlineStr">
        <is>
          <t>QMS-NCR-011</t>
        </is>
      </c>
      <c r="O18" s="10" t="inlineStr">
        <is>
          <t>data/denso_factory_hack_data_prep/pdfs/QMS-NCR-011_Nonconformance_Report.pdf</t>
        </is>
      </c>
      <c r="P18" s="13" t="inlineStr">
        <is>
          <t>1</t>
        </is>
      </c>
      <c r="Q18" s="10" t="inlineStr">
        <is>
          <t>Nonconformance details - Detected at
Immediate actions - terminal-height inspection</t>
        </is>
      </c>
      <c r="R18" s="10" t="inlineStr">
        <is>
          <t>Detected at: 2026-09-15 10:18
Inspect terminal height using gauge HG-11 at three points per part.</t>
        </is>
      </c>
      <c r="S18" s="10" t="inlineStr">
        <is>
          <t>G109-E01
G109-E02</t>
        </is>
      </c>
      <c r="T18" s="10" t="inlineStr">
        <is>
          <t>source_verified_pending_human_signoff</t>
        </is>
      </c>
      <c r="U18" s="10" t="inlineStr">
        <is>
          <t>Answer and locator checked against the current synthetic source pack; human sign-off is still pending.</t>
        </is>
      </c>
      <c r="V18" s="14" t="inlineStr">
        <is>
          <t>Pending</t>
        </is>
      </c>
      <c r="W18" s="14" t="inlineStr">
        <is>
          <t>Pending</t>
        </is>
      </c>
      <c r="X18" s="14" t="inlineStr">
        <is>
          <t>N/A</t>
        </is>
      </c>
      <c r="Y18" s="15">
        <f>IF($AB18="Rejected","Rejected - revise",IF(AND($V18="Yes",$W18="Yes",OR($X18="Approved",$X18="N/A")),"Ready for sign-off","Review required"))</f>
        <v/>
      </c>
      <c r="Z18" s="14" t="inlineStr"/>
      <c r="AA18" s="16" t="n"/>
      <c r="AB18" s="14" t="inlineStr">
        <is>
          <t>Pending</t>
        </is>
      </c>
      <c r="AC18" s="14" t="inlineStr"/>
    </row>
    <row r="19" ht="42" customHeight="1">
      <c r="A19" s="17" t="inlineStr">
        <is>
          <t>G110</t>
        </is>
      </c>
      <c r="B19" s="17" t="inlineStr">
        <is>
          <t>What initial disposition was assigned, and how many points should be checked on each part?</t>
        </is>
      </c>
      <c r="C19" s="17" t="inlineStr">
        <is>
          <t>en</t>
        </is>
      </c>
      <c r="D19" s="17" t="inlineStr">
        <is>
          <t>What initial disposition was assigned, and how many points should be checked on each part?</t>
        </is>
      </c>
      <c r="E19" s="17" t="inlineStr">
        <is>
          <t>en</t>
        </is>
      </c>
      <c r="F19" s="18" t="b">
        <v>1</v>
      </c>
      <c r="G19" s="17" t="inlineStr">
        <is>
          <t>The lot was held for engineering review, and terminal height should be checked at three points per part.</t>
        </is>
      </c>
      <c r="H19" s="17" t="inlineStr">
        <is>
          <t>The lot was held for engineering review, and terminal height should be checked at three points per part.</t>
        </is>
      </c>
      <c r="I19" s="17" t="inlineStr">
        <is>
          <t>Hold for engineering review
Inspect three points per part</t>
        </is>
      </c>
      <c r="J19" s="17" t="inlineStr">
        <is>
          <t>Hold for engineering review
Inspect three points per part</t>
        </is>
      </c>
      <c r="K19" s="17" t="inlineStr">
        <is>
          <t>containment_procedure</t>
        </is>
      </c>
      <c r="L19" s="17" t="inlineStr">
        <is>
          <t>medium</t>
        </is>
      </c>
      <c r="M19" s="17" t="inlineStr">
        <is>
          <t>EV-G110-01
EV-G110-02</t>
        </is>
      </c>
      <c r="N19" s="17" t="inlineStr">
        <is>
          <t>QMS-NCR-011</t>
        </is>
      </c>
      <c r="O19" s="17" t="inlineStr">
        <is>
          <t>data/denso_factory_hack_data_prep/pdfs/QMS-NCR-011_Nonconformance_Report.pdf</t>
        </is>
      </c>
      <c r="P19" s="18" t="inlineStr">
        <is>
          <t>1</t>
        </is>
      </c>
      <c r="Q19" s="17" t="inlineStr">
        <is>
          <t>Initial disposition
Immediate actions - terminal-height inspection</t>
        </is>
      </c>
      <c r="R19" s="17" t="inlineStr">
        <is>
          <t>Initial disposition: Hold for engineering review
Inspect terminal height using gauge HG-11 at three points per part.</t>
        </is>
      </c>
      <c r="S19" s="17" t="inlineStr">
        <is>
          <t>G110-E01
G110-E02</t>
        </is>
      </c>
      <c r="T19" s="17" t="inlineStr">
        <is>
          <t>source_verified_pending_human_signoff</t>
        </is>
      </c>
      <c r="U19" s="17" t="inlineStr">
        <is>
          <t>Answer and locator checked against the current synthetic source pack; human sign-off is still pending.</t>
        </is>
      </c>
      <c r="V19" s="14" t="inlineStr">
        <is>
          <t>Pending</t>
        </is>
      </c>
      <c r="W19" s="14" t="inlineStr">
        <is>
          <t>Pending</t>
        </is>
      </c>
      <c r="X19" s="14" t="inlineStr">
        <is>
          <t>N/A</t>
        </is>
      </c>
      <c r="Y19" s="15">
        <f>IF($AB19="Rejected","Rejected - revise",IF(AND($V19="Yes",$W19="Yes",OR($X19="Approved",$X19="N/A")),"Ready for sign-off","Review required"))</f>
        <v/>
      </c>
      <c r="Z19" s="14" t="inlineStr"/>
      <c r="AA19" s="16" t="n"/>
      <c r="AB19" s="14" t="inlineStr">
        <is>
          <t>Pending</t>
        </is>
      </c>
      <c r="AC19" s="14" t="inlineStr"/>
    </row>
    <row r="20" ht="42" customHeight="1">
      <c r="A20" s="10" t="inlineStr">
        <is>
          <t>G111</t>
        </is>
      </c>
      <c r="B20" s="11" t="inlineStr">
        <is>
          <t>第1直で報告された廃棄品数はいくつで、実績生産数に対する割合は何％ですか。</t>
        </is>
      </c>
      <c r="C20" s="12" t="inlineStr">
        <is>
          <t>ja</t>
        </is>
      </c>
      <c r="D20" s="10" t="inlineStr">
        <is>
          <t>How many scrap pieces were reported for Shift 1, and what share of actual output did they represent?</t>
        </is>
      </c>
      <c r="E20" s="10" t="inlineStr">
        <is>
          <t>en</t>
        </is>
      </c>
      <c r="F20" s="13" t="b">
        <v>1</v>
      </c>
      <c r="G20" s="10" t="inlineStr">
        <is>
          <t>第1直の廃棄品数は31個で、実績生産数の0.64%です。</t>
        </is>
      </c>
      <c r="H20" s="10" t="inlineStr">
        <is>
          <t>Shift 1 reported 31 scrap pieces, equal to 0.64% of actual output.</t>
        </is>
      </c>
      <c r="I20" s="10" t="inlineStr">
        <is>
          <t>廃棄品31個
実績生産数に対する割合0.64%</t>
        </is>
      </c>
      <c r="J20" s="10" t="inlineStr">
        <is>
          <t>Scrap 31 pcs
Scrap 0.64% of actual output</t>
        </is>
      </c>
      <c r="K20" s="10" t="inlineStr">
        <is>
          <t>shift_summary_lookup</t>
        </is>
      </c>
      <c r="L20" s="10" t="inlineStr">
        <is>
          <t>medium</t>
        </is>
      </c>
      <c r="M20" s="10" t="inlineStr">
        <is>
          <t>EV-G111-01</t>
        </is>
      </c>
      <c r="N20" s="10" t="inlineStr">
        <is>
          <t>PROD-HO-20260915</t>
        </is>
      </c>
      <c r="O20" s="10" t="inlineStr">
        <is>
          <t>data/denso_factory_hack_data_prep/pdfs/PROD-HO-20260915_Shift_Handover.pdf</t>
        </is>
      </c>
      <c r="P20" s="13" t="inlineStr">
        <is>
          <t>1</t>
        </is>
      </c>
      <c r="Q20" s="10" t="inlineStr">
        <is>
          <t>Shift 1 performance - Scrap</t>
        </is>
      </c>
      <c r="R20" s="10" t="inlineStr">
        <is>
          <t>Scrap | 31 pcs | 0.64% of actual output</t>
        </is>
      </c>
      <c r="S20" s="10" t="inlineStr">
        <is>
          <t>G111-E01</t>
        </is>
      </c>
      <c r="T20" s="10" t="inlineStr">
        <is>
          <t>source_verified_pending_human_signoff</t>
        </is>
      </c>
      <c r="U20" s="10" t="inlineStr">
        <is>
          <t>Answer and locator checked against the current synthetic source pack; human sign-off is still pending.</t>
        </is>
      </c>
      <c r="V20" s="14" t="inlineStr">
        <is>
          <t>Pending</t>
        </is>
      </c>
      <c r="W20" s="14" t="inlineStr">
        <is>
          <t>Pending</t>
        </is>
      </c>
      <c r="X20" s="14" t="inlineStr">
        <is>
          <t>Pending</t>
        </is>
      </c>
      <c r="Y20" s="15">
        <f>IF($AB20="Rejected","Rejected - revise",IF(AND($V20="Yes",$W20="Yes",OR($X20="Approved",$X20="N/A")),"Ready for sign-off","Review required"))</f>
        <v/>
      </c>
      <c r="Z20" s="14" t="inlineStr"/>
      <c r="AA20" s="16" t="n"/>
      <c r="AB20" s="14" t="inlineStr">
        <is>
          <t>Pending</t>
        </is>
      </c>
      <c r="AC20" s="14" t="inlineStr"/>
    </row>
    <row r="21" ht="52" customHeight="1">
      <c r="A21" s="17" t="inlineStr">
        <is>
          <t>G112</t>
        </is>
      </c>
      <c r="B21" s="17" t="inlineStr">
        <is>
          <t>What model change was completed at 13:20, and how long did it take?</t>
        </is>
      </c>
      <c r="C21" s="17" t="inlineStr">
        <is>
          <t>en</t>
        </is>
      </c>
      <c r="D21" s="17" t="inlineStr">
        <is>
          <t>What model change was completed at 13:20, and how long did it take?</t>
        </is>
      </c>
      <c r="E21" s="17" t="inlineStr">
        <is>
          <t>en</t>
        </is>
      </c>
      <c r="F21" s="18" t="b">
        <v>1</v>
      </c>
      <c r="G21" s="17" t="inlineStr">
        <is>
          <t>The line changed from model X2 to X3; the changeover took 11 minutes.</t>
        </is>
      </c>
      <c r="H21" s="17" t="inlineStr">
        <is>
          <t>The line changed from model X2 to X3; the changeover took 11 minutes.</t>
        </is>
      </c>
      <c r="I21" s="17" t="inlineStr">
        <is>
          <t>Changeover at 13:20
Model X2 to X3
Duration 11 min</t>
        </is>
      </c>
      <c r="J21" s="17" t="inlineStr">
        <is>
          <t>Changeover at 13:20
Model X2 to X3
Duration 11 min</t>
        </is>
      </c>
      <c r="K21" s="17" t="inlineStr">
        <is>
          <t>event_lookup</t>
        </is>
      </c>
      <c r="L21" s="17" t="inlineStr">
        <is>
          <t>easy</t>
        </is>
      </c>
      <c r="M21" s="17" t="inlineStr">
        <is>
          <t>EV-G112-01</t>
        </is>
      </c>
      <c r="N21" s="17" t="inlineStr">
        <is>
          <t>PROD-HO-20260915</t>
        </is>
      </c>
      <c r="O21" s="17" t="inlineStr">
        <is>
          <t>data/denso_factory_hack_data_prep/pdfs/PROD-HO-20260915_Shift_Handover.pdf</t>
        </is>
      </c>
      <c r="P21" s="18" t="inlineStr">
        <is>
          <t>1</t>
        </is>
      </c>
      <c r="Q21" s="17" t="inlineStr">
        <is>
          <t>Shift 1 performance - Changeover</t>
        </is>
      </c>
      <c r="R21" s="17" t="inlineStr">
        <is>
          <t>Changeover | 13:20 | Model X2 → X3; completed in 11 min</t>
        </is>
      </c>
      <c r="S21" s="17" t="inlineStr">
        <is>
          <t>G112-E01</t>
        </is>
      </c>
      <c r="T21" s="17" t="inlineStr">
        <is>
          <t>source_verified_pending_human_signoff</t>
        </is>
      </c>
      <c r="U21" s="17" t="inlineStr">
        <is>
          <t>Answer and locator checked against the current synthetic source pack; human sign-off is still pending.</t>
        </is>
      </c>
      <c r="V21" s="14" t="inlineStr">
        <is>
          <t>Pending</t>
        </is>
      </c>
      <c r="W21" s="14" t="inlineStr">
        <is>
          <t>Pending</t>
        </is>
      </c>
      <c r="X21" s="14" t="inlineStr">
        <is>
          <t>N/A</t>
        </is>
      </c>
      <c r="Y21" s="15">
        <f>IF($AB21="Rejected","Rejected - revise",IF(AND($V21="Yes",$W21="Yes",OR($X21="Approved",$X21="N/A")),"Ready for sign-off","Review required"))</f>
        <v/>
      </c>
      <c r="Z21" s="14" t="inlineStr"/>
      <c r="AA21" s="16" t="n"/>
      <c r="AB21" s="14" t="inlineStr">
        <is>
          <t>Pending</t>
        </is>
      </c>
      <c r="AC21" s="14" t="inlineStr"/>
    </row>
    <row r="22" ht="52" customHeight="1">
      <c r="A22" s="10" t="inlineStr">
        <is>
          <t>G113</t>
        </is>
      </c>
      <c r="B22" s="10" t="inlineStr">
        <is>
          <t>For the CN-7710 connector housings, what lot, quantity, and box range are listed?</t>
        </is>
      </c>
      <c r="C22" s="10" t="inlineStr">
        <is>
          <t>en</t>
        </is>
      </c>
      <c r="D22" s="10" t="inlineStr">
        <is>
          <t>For the CN-7710 connector housings, what lot, quantity, and box range are listed?</t>
        </is>
      </c>
      <c r="E22" s="10" t="inlineStr">
        <is>
          <t>en</t>
        </is>
      </c>
      <c r="F22" s="13" t="b">
        <v>1</v>
      </c>
      <c r="G22" s="10" t="inlineStr">
        <is>
          <t>Lot AC260914A, 2,400 pieces, boxes BX001-BX006.</t>
        </is>
      </c>
      <c r="H22" s="10" t="inlineStr">
        <is>
          <t>Lot AC260914A, 2,400 pieces, boxes BX001-BX006.</t>
        </is>
      </c>
      <c r="I22" s="10" t="inlineStr">
        <is>
          <t>Lot AC260914A
Quantity 2400 pcs
Boxes BX001-BX006</t>
        </is>
      </c>
      <c r="J22" s="10" t="inlineStr">
        <is>
          <t>Lot AC260914A
Quantity 2400 pcs
Boxes BX001-BX006</t>
        </is>
      </c>
      <c r="K22" s="10" t="inlineStr">
        <is>
          <t>packing_list_lookup</t>
        </is>
      </c>
      <c r="L22" s="10" t="inlineStr">
        <is>
          <t>medium</t>
        </is>
      </c>
      <c r="M22" s="10" t="inlineStr">
        <is>
          <t>EV-G113-01</t>
        </is>
      </c>
      <c r="N22" s="10" t="inlineStr">
        <is>
          <t>SUP-PACK-20260915</t>
        </is>
      </c>
      <c r="O22" s="10" t="inlineStr">
        <is>
          <t>data/denso_factory_hack_data_prep/pdfs/SUP-PACK-20260915_Packing_List.pdf</t>
        </is>
      </c>
      <c r="P22" s="13" t="inlineStr">
        <is>
          <t>1</t>
        </is>
      </c>
      <c r="Q22" s="10" t="inlineStr">
        <is>
          <t>Package contents - CN-7710</t>
        </is>
      </c>
      <c r="R22" s="10" t="inlineStr">
        <is>
          <t>CN-7710 | 6-pin connector housing | AC260914A | 2,400 | pcs | BX001-BX006</t>
        </is>
      </c>
      <c r="S22" s="10" t="inlineStr">
        <is>
          <t>G113-E01</t>
        </is>
      </c>
      <c r="T22" s="10" t="inlineStr">
        <is>
          <t>source_verified_pending_human_signoff</t>
        </is>
      </c>
      <c r="U22" s="10" t="inlineStr">
        <is>
          <t>Answer and locator checked against the current synthetic source pack; human sign-off is still pending.</t>
        </is>
      </c>
      <c r="V22" s="14" t="inlineStr">
        <is>
          <t>Pending</t>
        </is>
      </c>
      <c r="W22" s="14" t="inlineStr">
        <is>
          <t>Pending</t>
        </is>
      </c>
      <c r="X22" s="14" t="inlineStr">
        <is>
          <t>N/A</t>
        </is>
      </c>
      <c r="Y22" s="15">
        <f>IF($AB22="Rejected","Rejected - revise",IF(AND($V22="Yes",$W22="Yes",OR($X22="Approved",$X22="N/A")),"Ready for sign-off","Review required"))</f>
        <v/>
      </c>
      <c r="Z22" s="14" t="inlineStr"/>
      <c r="AA22" s="16" t="n"/>
      <c r="AB22" s="14" t="inlineStr">
        <is>
          <t>Pending</t>
        </is>
      </c>
      <c r="AC22" s="14" t="inlineStr"/>
    </row>
    <row r="23" ht="52" customHeight="1">
      <c r="A23" s="17" t="inlineStr">
        <is>
          <t>G114</t>
        </is>
      </c>
      <c r="B23" s="17" t="inlineStr">
        <is>
          <t>Which checks should receiving complete before posting the receipt?</t>
        </is>
      </c>
      <c r="C23" s="17" t="inlineStr">
        <is>
          <t>en</t>
        </is>
      </c>
      <c r="D23" s="17" t="inlineStr">
        <is>
          <t>Which checks should receiving complete before posting the receipt?</t>
        </is>
      </c>
      <c r="E23" s="17" t="inlineStr">
        <is>
          <t>en</t>
        </is>
      </c>
      <c r="F23" s="18" t="b">
        <v>1</v>
      </c>
      <c r="G23" s="17" t="inlineStr">
        <is>
          <t>Verify box IDs and quantity against the table, inspect packaging for damage or moisture, and retain supplier lot numbers for traceability.</t>
        </is>
      </c>
      <c r="H23" s="17" t="inlineStr">
        <is>
          <t>Verify box IDs and quantity against the table, inspect packaging for damage or moisture, and retain supplier lot numbers for traceability.</t>
        </is>
      </c>
      <c r="I23" s="17" t="inlineStr">
        <is>
          <t>Verify box IDs and quantity
Inspect for damage or moisture
Retain supplier lot numbers</t>
        </is>
      </c>
      <c r="J23" s="17" t="inlineStr">
        <is>
          <t>Verify box IDs and quantity
Inspect for damage or moisture
Retain supplier lot numbers</t>
        </is>
      </c>
      <c r="K23" s="17" t="inlineStr">
        <is>
          <t>receiving_procedure</t>
        </is>
      </c>
      <c r="L23" s="17" t="inlineStr">
        <is>
          <t>medium</t>
        </is>
      </c>
      <c r="M23" s="17" t="inlineStr">
        <is>
          <t>EV-G114-01
EV-G114-02
EV-G114-03</t>
        </is>
      </c>
      <c r="N23" s="17" t="inlineStr">
        <is>
          <t>SUP-PACK-20260915</t>
        </is>
      </c>
      <c r="O23" s="17" t="inlineStr">
        <is>
          <t>data/denso_factory_hack_data_prep/pdfs/SUP-PACK-20260915_Packing_List.pdf</t>
        </is>
      </c>
      <c r="P23" s="18" t="inlineStr">
        <is>
          <t>1</t>
        </is>
      </c>
      <c r="Q23" s="17" t="inlineStr">
        <is>
          <t>Receiving checks - verify quantity
Receiving checks - inspect packaging
Receiving checks - traceability</t>
        </is>
      </c>
      <c r="R23" s="17" t="inlineStr">
        <is>
          <t>Verify box IDs and quantity against the table before posting receipt.
Inspect external packaging for damage or moisture.
Retain supplier lot numbers for traceability.</t>
        </is>
      </c>
      <c r="S23" s="17" t="inlineStr">
        <is>
          <t>G114-E01
G114-E02
G114-E03</t>
        </is>
      </c>
      <c r="T23" s="17" t="inlineStr">
        <is>
          <t>source_verified_pending_human_signoff</t>
        </is>
      </c>
      <c r="U23" s="17" t="inlineStr">
        <is>
          <t>Answer and locator checked against the current synthetic source pack; human sign-off is still pending.</t>
        </is>
      </c>
      <c r="V23" s="14" t="inlineStr">
        <is>
          <t>Pending</t>
        </is>
      </c>
      <c r="W23" s="14" t="inlineStr">
        <is>
          <t>Pending</t>
        </is>
      </c>
      <c r="X23" s="14" t="inlineStr">
        <is>
          <t>N/A</t>
        </is>
      </c>
      <c r="Y23" s="15">
        <f>IF($AB23="Rejected","Rejected - revise",IF(AND($V23="Yes",$W23="Yes",OR($X23="Approved",$X23="N/A")),"Ready for sign-off","Review required"))</f>
        <v/>
      </c>
      <c r="Z23" s="14" t="inlineStr"/>
      <c r="AA23" s="16" t="n"/>
      <c r="AB23" s="14" t="inlineStr">
        <is>
          <t>Pending</t>
        </is>
      </c>
      <c r="AC23" s="14" t="inlineStr"/>
    </row>
    <row r="24" ht="66" customHeight="1">
      <c r="A24" s="10" t="inlineStr">
        <is>
          <t>G115</t>
        </is>
      </c>
      <c r="B24" s="10" t="inlineStr">
        <is>
          <t>What occurred at Station S20 at 08:42, and what countermeasure was recorded?</t>
        </is>
      </c>
      <c r="C24" s="10" t="inlineStr">
        <is>
          <t>en</t>
        </is>
      </c>
      <c r="D24" s="10" t="inlineStr">
        <is>
          <t>What occurred at Station S20 at 08:42, and what countermeasure was recorded?</t>
        </is>
      </c>
      <c r="E24" s="10" t="inlineStr">
        <is>
          <t>en</t>
        </is>
      </c>
      <c r="F24" s="13" t="b">
        <v>1</v>
      </c>
      <c r="G24" s="10" t="inlineStr">
        <is>
          <t>Andon A-103 reported a blocked part-presence sensor for 4 minutes; the sensor lens was cleaned.</t>
        </is>
      </c>
      <c r="H24" s="10" t="inlineStr">
        <is>
          <t>Andon A-103 reported a blocked part-presence sensor for 4 minutes; the sensor lens was cleaned.</t>
        </is>
      </c>
      <c r="I24" s="10" t="inlineStr">
        <is>
          <t>A-103 at S20
Part presence sensor blocked
Duration 4 min
Cleaned sensor lens</t>
        </is>
      </c>
      <c r="J24" s="10" t="inlineStr">
        <is>
          <t>A-103 at S20
Part presence sensor blocked
Duration 4 min
Cleaned sensor lens</t>
        </is>
      </c>
      <c r="K24" s="10" t="inlineStr">
        <is>
          <t>event_lookup</t>
        </is>
      </c>
      <c r="L24" s="10" t="inlineStr">
        <is>
          <t>medium</t>
        </is>
      </c>
      <c r="M24" s="10" t="inlineStr">
        <is>
          <t>EV-G115-01</t>
        </is>
      </c>
      <c r="N24" s="10" t="inlineStr">
        <is>
          <t>ANDON-DAILY-20260915</t>
        </is>
      </c>
      <c r="O24" s="10" t="inlineStr">
        <is>
          <t>data/denso_factory_hack_data_prep/pdfs/ANDON-DAILY-20260915.pdf</t>
        </is>
      </c>
      <c r="P24" s="13" t="inlineStr">
        <is>
          <t>1</t>
        </is>
      </c>
      <c r="Q24" s="10" t="inlineStr">
        <is>
          <t>Andon events - A-103</t>
        </is>
      </c>
      <c r="R24" s="10" t="inlineStr">
        <is>
          <t>08:42 | S20 | A-103 | Part presence sensor blocked | 4 min | Cleaned sensor lens</t>
        </is>
      </c>
      <c r="S24" s="10" t="inlineStr">
        <is>
          <t>G115-E01</t>
        </is>
      </c>
      <c r="T24" s="10" t="inlineStr">
        <is>
          <t>source_verified_pending_human_signoff</t>
        </is>
      </c>
      <c r="U24" s="10" t="inlineStr">
        <is>
          <t>Answer and locator checked against the current synthetic source pack; human sign-off is still pending.</t>
        </is>
      </c>
      <c r="V24" s="14" t="inlineStr">
        <is>
          <t>Pending</t>
        </is>
      </c>
      <c r="W24" s="14" t="inlineStr">
        <is>
          <t>Pending</t>
        </is>
      </c>
      <c r="X24" s="14" t="inlineStr">
        <is>
          <t>N/A</t>
        </is>
      </c>
      <c r="Y24" s="15">
        <f>IF($AB24="Rejected","Rejected - revise",IF(AND($V24="Yes",$W24="Yes",OR($X24="Approved",$X24="N/A")),"Ready for sign-off","Review required"))</f>
        <v/>
      </c>
      <c r="Z24" s="14" t="inlineStr"/>
      <c r="AA24" s="16" t="n"/>
      <c r="AB24" s="14" t="inlineStr">
        <is>
          <t>Pending</t>
        </is>
      </c>
      <c r="AC24" s="14" t="inlineStr"/>
    </row>
    <row r="25" ht="42" customHeight="1">
      <c r="A25" s="17" t="inlineStr">
        <is>
          <t>G116</t>
        </is>
      </c>
      <c r="B25" s="17" t="inlineStr">
        <is>
          <t>What retry threshold was exceeded in barcode event A-031?</t>
        </is>
      </c>
      <c r="C25" s="17" t="inlineStr">
        <is>
          <t>en</t>
        </is>
      </c>
      <c r="D25" s="17" t="inlineStr">
        <is>
          <t>What retry threshold was exceeded in barcode event A-031?</t>
        </is>
      </c>
      <c r="E25" s="17" t="inlineStr">
        <is>
          <t>en</t>
        </is>
      </c>
      <c r="F25" s="18" t="b">
        <v>1</v>
      </c>
      <c r="G25" s="17" t="inlineStr">
        <is>
          <t>The barcode read retry count exceeded 3.</t>
        </is>
      </c>
      <c r="H25" s="17" t="inlineStr">
        <is>
          <t>The barcode read retry count exceeded 3.</t>
        </is>
      </c>
      <c r="I25" s="17" t="inlineStr">
        <is>
          <t>Barcode read retries exceeded 3</t>
        </is>
      </c>
      <c r="J25" s="17" t="inlineStr">
        <is>
          <t>Barcode read retries exceeded 3</t>
        </is>
      </c>
      <c r="K25" s="17" t="inlineStr">
        <is>
          <t>threshold_lookup</t>
        </is>
      </c>
      <c r="L25" s="17" t="inlineStr">
        <is>
          <t>easy</t>
        </is>
      </c>
      <c r="M25" s="17" t="inlineStr">
        <is>
          <t>EV-G116-01</t>
        </is>
      </c>
      <c r="N25" s="17" t="inlineStr">
        <is>
          <t>ANDON-DAILY-20260915</t>
        </is>
      </c>
      <c r="O25" s="17" t="inlineStr">
        <is>
          <t>data/denso_factory_hack_data_prep/pdfs/ANDON-DAILY-20260915.pdf</t>
        </is>
      </c>
      <c r="P25" s="18" t="inlineStr">
        <is>
          <t>1</t>
        </is>
      </c>
      <c r="Q25" s="17" t="inlineStr">
        <is>
          <t>Andon events - A-031</t>
        </is>
      </c>
      <c r="R25" s="17" t="inlineStr">
        <is>
          <t>12:15 | S10 | A-031 | Barcode read retry &gt; 3 | 2 min | Cleaned scanner window</t>
        </is>
      </c>
      <c r="S25" s="17" t="inlineStr">
        <is>
          <t>G116-E01</t>
        </is>
      </c>
      <c r="T25" s="17" t="inlineStr">
        <is>
          <t>source_verified_pending_human_signoff</t>
        </is>
      </c>
      <c r="U25" s="17" t="inlineStr">
        <is>
          <t>Answer and locator checked against the current synthetic source pack; human sign-off is still pending.</t>
        </is>
      </c>
      <c r="V25" s="14" t="inlineStr">
        <is>
          <t>Pending</t>
        </is>
      </c>
      <c r="W25" s="14" t="inlineStr">
        <is>
          <t>Pending</t>
        </is>
      </c>
      <c r="X25" s="14" t="inlineStr">
        <is>
          <t>N/A</t>
        </is>
      </c>
      <c r="Y25" s="15">
        <f>IF($AB25="Rejected","Rejected - revise",IF(AND($V25="Yes",$W25="Yes",OR($X25="Approved",$X25="N/A")),"Ready for sign-off","Review required"))</f>
        <v/>
      </c>
      <c r="Z25" s="14" t="inlineStr"/>
      <c r="AA25" s="16" t="n"/>
      <c r="AB25" s="14" t="inlineStr">
        <is>
          <t>Pending</t>
        </is>
      </c>
      <c r="AC25" s="14" t="inlineStr"/>
    </row>
    <row r="26" ht="52" customHeight="1">
      <c r="A26" s="10" t="inlineStr">
        <is>
          <t>G117</t>
        </is>
      </c>
      <c r="B26" s="11" t="inlineStr">
        <is>
          <t>日常始業点検シートで「PASS」と記録されている項目はどれですか。</t>
        </is>
      </c>
      <c r="C26" s="12" t="inlineStr">
        <is>
          <t>ja</t>
        </is>
      </c>
      <c r="D26" s="10" t="inlineStr">
        <is>
          <t>Which startup checks on the scan sheet are visibly marked PASS?</t>
        </is>
      </c>
      <c r="E26" s="10" t="inlineStr">
        <is>
          <t>en</t>
        </is>
      </c>
      <c r="F26" s="13" t="b">
        <v>1</v>
      </c>
      <c r="G26" s="10" t="inlineStr">
        <is>
          <t>ゴールデンサンプルの確認、バーコードリーダーのテスト、安全インターロックです。</t>
        </is>
      </c>
      <c r="H26" s="10" t="inlineStr">
        <is>
          <t>Golden sample verification, barcode reader test, and safety interlock are marked PASS.</t>
        </is>
      </c>
      <c r="I26" s="10" t="inlineStr">
        <is>
          <t>ゴールデンサンプルの確認がPASS
バーコードリーダーのテストがPASS
安全インターロックがPASS</t>
        </is>
      </c>
      <c r="J26" s="10" t="inlineStr">
        <is>
          <t>Golden sample verification PASS
Barcode reader test PASS
Safety interlock PASS</t>
        </is>
      </c>
      <c r="K26" s="10" t="inlineStr">
        <is>
          <t>visual_layout_lookup</t>
        </is>
      </c>
      <c r="L26" s="10" t="inlineStr">
        <is>
          <t>medium</t>
        </is>
      </c>
      <c r="M26" s="10" t="inlineStr">
        <is>
          <t>EV-G117-01</t>
        </is>
      </c>
      <c r="N26" s="10" t="inlineStr">
        <is>
          <t>IMG-CHECK-001</t>
        </is>
      </c>
      <c r="O26" s="10" t="inlineStr">
        <is>
          <t>data/denso_factory_hack_data_prep/images/scan_checksheet_rotated.png</t>
        </is>
      </c>
      <c r="P26" s="13" t="inlineStr">
        <is>
          <t>1</t>
        </is>
      </c>
      <c r="Q26" s="10" t="inlineStr">
        <is>
          <t>Daily start-up check sheet - verification rows</t>
        </is>
      </c>
      <c r="R26" s="10" t="inlineStr">
        <is>
          <t>Golden sample verification | PASS; Barcode reader test | PASS; Safety interlock | PASS</t>
        </is>
      </c>
      <c r="S26" s="10" t="inlineStr">
        <is>
          <t>G117-E01</t>
        </is>
      </c>
      <c r="T26" s="10" t="inlineStr">
        <is>
          <t>source_verified_pending_human_signoff</t>
        </is>
      </c>
      <c r="U26" s="10" t="inlineStr">
        <is>
          <t>Answer and locator checked against the current synthetic source pack; human sign-off is still pending.</t>
        </is>
      </c>
      <c r="V26" s="14" t="inlineStr">
        <is>
          <t>Pending</t>
        </is>
      </c>
      <c r="W26" s="14" t="inlineStr">
        <is>
          <t>Pending</t>
        </is>
      </c>
      <c r="X26" s="14" t="inlineStr">
        <is>
          <t>Pending</t>
        </is>
      </c>
      <c r="Y26" s="15">
        <f>IF($AB26="Rejected","Rejected - revise",IF(AND($V26="Yes",$W26="Yes",OR($X26="Approved",$X26="N/A")),"Ready for sign-off","Review required"))</f>
        <v/>
      </c>
      <c r="Z26" s="14" t="inlineStr"/>
      <c r="AA26" s="16" t="n"/>
      <c r="AB26" s="14" t="inlineStr">
        <is>
          <t>Pending</t>
        </is>
      </c>
      <c r="AC26" s="14" t="inlineStr"/>
    </row>
    <row r="27" ht="42" customHeight="1">
      <c r="A27" s="17" t="inlineStr">
        <is>
          <t>G118</t>
        </is>
      </c>
      <c r="B27" s="17" t="inlineStr">
        <is>
          <t>What was found near the upper lamp cover, and when was it cleaned?</t>
        </is>
      </c>
      <c r="C27" s="17" t="inlineStr">
        <is>
          <t>en</t>
        </is>
      </c>
      <c r="D27" s="17" t="inlineStr">
        <is>
          <t>What was found near the upper lamp cover, and when was it cleaned?</t>
        </is>
      </c>
      <c r="E27" s="17" t="inlineStr">
        <is>
          <t>en</t>
        </is>
      </c>
      <c r="F27" s="18" t="b">
        <v>1</v>
      </c>
      <c r="G27" s="17" t="inlineStr">
        <is>
          <t>A small amount of dust was found and cleaned before start.</t>
        </is>
      </c>
      <c r="H27" s="17" t="inlineStr">
        <is>
          <t>A small amount of dust was found and cleaned before start.</t>
        </is>
      </c>
      <c r="I27" s="17" t="inlineStr">
        <is>
          <t>Small dust at upper lamp cover
Cleaned before start</t>
        </is>
      </c>
      <c r="J27" s="17" t="inlineStr">
        <is>
          <t>Small dust at upper lamp cover
Cleaned before start</t>
        </is>
      </c>
      <c r="K27" s="17" t="inlineStr">
        <is>
          <t>visual_note_extraction</t>
        </is>
      </c>
      <c r="L27" s="17" t="inlineStr">
        <is>
          <t>medium</t>
        </is>
      </c>
      <c r="M27" s="17" t="inlineStr">
        <is>
          <t>EV-G118-01</t>
        </is>
      </c>
      <c r="N27" s="17" t="inlineStr">
        <is>
          <t>IMG-CHECK-001</t>
        </is>
      </c>
      <c r="O27" s="17" t="inlineStr">
        <is>
          <t>data/denso_factory_hack_data_prep/images/scan_checksheet_rotated.png</t>
        </is>
      </c>
      <c r="P27" s="18" t="inlineStr">
        <is>
          <t>1</t>
        </is>
      </c>
      <c r="Q27" s="17" t="inlineStr">
        <is>
          <t>Daily start-up check sheet - note</t>
        </is>
      </c>
      <c r="R27" s="17" t="inlineStr">
        <is>
          <t>Note: small dust found at upper lamp cover - cleaned before start.</t>
        </is>
      </c>
      <c r="S27" s="17" t="inlineStr">
        <is>
          <t>G118-E01</t>
        </is>
      </c>
      <c r="T27" s="17" t="inlineStr">
        <is>
          <t>source_verified_pending_human_signoff</t>
        </is>
      </c>
      <c r="U27" s="17" t="inlineStr">
        <is>
          <t>Answer and locator checked against the current synthetic source pack; human sign-off is still pending.</t>
        </is>
      </c>
      <c r="V27" s="14" t="inlineStr">
        <is>
          <t>Pending</t>
        </is>
      </c>
      <c r="W27" s="14" t="inlineStr">
        <is>
          <t>Pending</t>
        </is>
      </c>
      <c r="X27" s="14" t="inlineStr">
        <is>
          <t>N/A</t>
        </is>
      </c>
      <c r="Y27" s="15">
        <f>IF($AB27="Rejected","Rejected - revise",IF(AND($V27="Yes",$W27="Yes",OR($X27="Approved",$X27="N/A")),"Ready for sign-off","Review required"))</f>
        <v/>
      </c>
      <c r="Z27" s="14" t="inlineStr"/>
      <c r="AA27" s="16" t="n"/>
      <c r="AB27" s="14" t="inlineStr">
        <is>
          <t>Pending</t>
        </is>
      </c>
      <c r="AC27" s="14" t="inlineStr"/>
    </row>
    <row r="28" ht="42" customHeight="1">
      <c r="A28" s="10" t="inlineStr">
        <is>
          <t>G119</t>
        </is>
      </c>
      <c r="B28" s="10" t="inlineStr">
        <is>
          <t>Which recovery actions are listed immediately before the RESET command?</t>
        </is>
      </c>
      <c r="C28" s="10" t="inlineStr">
        <is>
          <t>en</t>
        </is>
      </c>
      <c r="D28" s="10" t="inlineStr">
        <is>
          <t>Which recovery actions are listed immediately before the RESET command?</t>
        </is>
      </c>
      <c r="E28" s="10" t="inlineStr">
        <is>
          <t>en</t>
        </is>
      </c>
      <c r="F28" s="13" t="b">
        <v>1</v>
      </c>
      <c r="G28" s="10" t="inlineStr">
        <is>
          <t>Clear the obstruction at the part-present sensor, then press RESET after the signal returns ON.</t>
        </is>
      </c>
      <c r="H28" s="10" t="inlineStr">
        <is>
          <t>Clear the obstruction at the part-present sensor, then press RESET after the signal returns ON.</t>
        </is>
      </c>
      <c r="I28" s="10" t="inlineStr">
        <is>
          <t>Clear obstruction at part-present sensor
Press RESET after signal returns ON</t>
        </is>
      </c>
      <c r="J28" s="10" t="inlineStr">
        <is>
          <t>Clear obstruction at part-present sensor
Press RESET after signal returns ON</t>
        </is>
      </c>
      <c r="K28" s="10" t="inlineStr">
        <is>
          <t>visual_procedure</t>
        </is>
      </c>
      <c r="L28" s="10" t="inlineStr">
        <is>
          <t>medium</t>
        </is>
      </c>
      <c r="M28" s="10" t="inlineStr">
        <is>
          <t>EV-G119-01</t>
        </is>
      </c>
      <c r="N28" s="10" t="inlineStr">
        <is>
          <t>IMG-HMI-001</t>
        </is>
      </c>
      <c r="O28" s="10" t="inlineStr">
        <is>
          <t>data/denso_factory_hack_data_prep/images/machine_alarm_hmi.png</t>
        </is>
      </c>
      <c r="P28" s="13" t="inlineStr">
        <is>
          <t>1</t>
        </is>
      </c>
      <c r="Q28" s="10" t="inlineStr">
        <is>
          <t>HMI recovery steps 2-3</t>
        </is>
      </c>
      <c r="R28" s="10" t="inlineStr">
        <is>
          <t>2. Clear obstruction at part-present sensor. 3. Press RESET after signal returns ON.</t>
        </is>
      </c>
      <c r="S28" s="10" t="inlineStr">
        <is>
          <t>G119-E01</t>
        </is>
      </c>
      <c r="T28" s="10" t="inlineStr">
        <is>
          <t>source_verified_pending_human_signoff</t>
        </is>
      </c>
      <c r="U28" s="10" t="inlineStr">
        <is>
          <t>Answer and locator checked against the current synthetic source pack; human sign-off is still pending.</t>
        </is>
      </c>
      <c r="V28" s="14" t="inlineStr">
        <is>
          <t>Pending</t>
        </is>
      </c>
      <c r="W28" s="14" t="inlineStr">
        <is>
          <t>Pending</t>
        </is>
      </c>
      <c r="X28" s="14" t="inlineStr">
        <is>
          <t>N/A</t>
        </is>
      </c>
      <c r="Y28" s="15">
        <f>IF($AB28="Rejected","Rejected - revise",IF(AND($V28="Yes",$W28="Yes",OR($X28="Approved",$X28="N/A")),"Ready for sign-off","Review required"))</f>
        <v/>
      </c>
      <c r="Z28" s="14" t="inlineStr"/>
      <c r="AA28" s="16" t="n"/>
      <c r="AB28" s="14" t="inlineStr">
        <is>
          <t>Pending</t>
        </is>
      </c>
      <c r="AC28" s="14" t="inlineStr"/>
    </row>
    <row r="29" ht="42" customHeight="1">
      <c r="A29" s="17" t="inlineStr">
        <is>
          <t>G120</t>
        </is>
      </c>
      <c r="B29" s="17" t="inlineStr">
        <is>
          <t>How many repeats of the alarm trigger a call to Maintenance?</t>
        </is>
      </c>
      <c r="C29" s="17" t="inlineStr">
        <is>
          <t>en</t>
        </is>
      </c>
      <c r="D29" s="17" t="inlineStr">
        <is>
          <t>How many repeats of the alarm trigger a call to Maintenance?</t>
        </is>
      </c>
      <c r="E29" s="17" t="inlineStr">
        <is>
          <t>en</t>
        </is>
      </c>
      <c r="F29" s="18" t="b">
        <v>1</v>
      </c>
      <c r="G29" s="17" t="inlineStr">
        <is>
          <t>Call Maintenance if the alarm repeats 3 times.</t>
        </is>
      </c>
      <c r="H29" s="17" t="inlineStr">
        <is>
          <t>Call Maintenance if the alarm repeats 3 times.</t>
        </is>
      </c>
      <c r="I29" s="17" t="inlineStr">
        <is>
          <t>Call Maintenance after 3 repeats</t>
        </is>
      </c>
      <c r="J29" s="17" t="inlineStr">
        <is>
          <t>Call Maintenance after 3 repeats</t>
        </is>
      </c>
      <c r="K29" s="17" t="inlineStr">
        <is>
          <t>visual_policy_lookup</t>
        </is>
      </c>
      <c r="L29" s="17" t="inlineStr">
        <is>
          <t>easy</t>
        </is>
      </c>
      <c r="M29" s="17" t="inlineStr">
        <is>
          <t>EV-G120-01</t>
        </is>
      </c>
      <c r="N29" s="17" t="inlineStr">
        <is>
          <t>IMG-HMI-001</t>
        </is>
      </c>
      <c r="O29" s="17" t="inlineStr">
        <is>
          <t>data/denso_factory_hack_data_prep/images/machine_alarm_hmi.png</t>
        </is>
      </c>
      <c r="P29" s="18" t="inlineStr">
        <is>
          <t>1</t>
        </is>
      </c>
      <c r="Q29" s="17" t="inlineStr">
        <is>
          <t>HMI recovery step 4</t>
        </is>
      </c>
      <c r="R29" s="17" t="inlineStr">
        <is>
          <t>4. If alarm repeats 3 times, call Maintenance.</t>
        </is>
      </c>
      <c r="S29" s="17" t="inlineStr">
        <is>
          <t>G120-E01</t>
        </is>
      </c>
      <c r="T29" s="17" t="inlineStr">
        <is>
          <t>source_verified_pending_human_signoff</t>
        </is>
      </c>
      <c r="U29" s="17" t="inlineStr">
        <is>
          <t>Answer and locator checked against the current synthetic source pack; human sign-off is still pending.</t>
        </is>
      </c>
      <c r="V29" s="14" t="inlineStr">
        <is>
          <t>Pending</t>
        </is>
      </c>
      <c r="W29" s="14" t="inlineStr">
        <is>
          <t>Pending</t>
        </is>
      </c>
      <c r="X29" s="14" t="inlineStr">
        <is>
          <t>N/A</t>
        </is>
      </c>
      <c r="Y29" s="15">
        <f>IF($AB29="Rejected","Rejected - revise",IF(AND($V29="Yes",$W29="Yes",OR($X29="Approved",$X29="N/A")),"Ready for sign-off","Review required"))</f>
        <v/>
      </c>
      <c r="Z29" s="14" t="inlineStr"/>
      <c r="AA29" s="16" t="n"/>
      <c r="AB29" s="14" t="inlineStr">
        <is>
          <t>Pending</t>
        </is>
      </c>
      <c r="AC29" s="14" t="inlineStr"/>
    </row>
    <row r="30" ht="42" customHeight="1">
      <c r="A30" s="10" t="inlineStr">
        <is>
          <t>G121</t>
        </is>
      </c>
      <c r="B30" s="10" t="inlineStr">
        <is>
          <t>What container identifier is printed on the traceability label?</t>
        </is>
      </c>
      <c r="C30" s="10" t="inlineStr">
        <is>
          <t>en</t>
        </is>
      </c>
      <c r="D30" s="10" t="inlineStr">
        <is>
          <t>What container identifier is printed on the traceability label?</t>
        </is>
      </c>
      <c r="E30" s="10" t="inlineStr">
        <is>
          <t>en</t>
        </is>
      </c>
      <c r="F30" s="13" t="b">
        <v>1</v>
      </c>
      <c r="G30" s="10" t="inlineStr">
        <is>
          <t>PLT-A3-0915-04.</t>
        </is>
      </c>
      <c r="H30" s="10" t="inlineStr">
        <is>
          <t>PLT-A3-0915-04.</t>
        </is>
      </c>
      <c r="I30" s="10" t="inlineStr">
        <is>
          <t>Container PLT-A3-0915-04</t>
        </is>
      </c>
      <c r="J30" s="10" t="inlineStr">
        <is>
          <t>Container PLT-A3-0915-04</t>
        </is>
      </c>
      <c r="K30" s="10" t="inlineStr">
        <is>
          <t>visual_field_extraction</t>
        </is>
      </c>
      <c r="L30" s="10" t="inlineStr">
        <is>
          <t>easy</t>
        </is>
      </c>
      <c r="M30" s="10" t="inlineStr">
        <is>
          <t>EV-G121-01</t>
        </is>
      </c>
      <c r="N30" s="10" t="inlineStr">
        <is>
          <t>IMG-LABEL-001</t>
        </is>
      </c>
      <c r="O30" s="10" t="inlineStr">
        <is>
          <t>data/denso_factory_hack_data_prep/images/pallet_traceability_label.png</t>
        </is>
      </c>
      <c r="P30" s="13" t="inlineStr">
        <is>
          <t>1</t>
        </is>
      </c>
      <c r="Q30" s="10" t="inlineStr">
        <is>
          <t>Traceability / pallet label - Container field</t>
        </is>
      </c>
      <c r="R30" s="10" t="inlineStr">
        <is>
          <t>Container: PLT-A3-0915-04</t>
        </is>
      </c>
      <c r="S30" s="10" t="inlineStr">
        <is>
          <t>G121-E01</t>
        </is>
      </c>
      <c r="T30" s="10" t="inlineStr">
        <is>
          <t>source_verified_pending_human_signoff</t>
        </is>
      </c>
      <c r="U30" s="10" t="inlineStr">
        <is>
          <t>Answer and locator checked against the current synthetic source pack; human sign-off is still pending.</t>
        </is>
      </c>
      <c r="V30" s="14" t="inlineStr">
        <is>
          <t>Pending</t>
        </is>
      </c>
      <c r="W30" s="14" t="inlineStr">
        <is>
          <t>Pending</t>
        </is>
      </c>
      <c r="X30" s="14" t="inlineStr">
        <is>
          <t>N/A</t>
        </is>
      </c>
      <c r="Y30" s="15">
        <f>IF($AB30="Rejected","Rejected - revise",IF(AND($V30="Yes",$W30="Yes",OR($X30="Approved",$X30="N/A")),"Ready for sign-off","Review required"))</f>
        <v/>
      </c>
      <c r="Z30" s="14" t="inlineStr"/>
      <c r="AA30" s="16" t="n"/>
      <c r="AB30" s="14" t="inlineStr">
        <is>
          <t>Pending</t>
        </is>
      </c>
      <c r="AC30" s="14" t="inlineStr"/>
    </row>
    <row r="31" ht="42" customHeight="1">
      <c r="A31" s="17" t="inlineStr">
        <is>
          <t>G122</t>
        </is>
      </c>
      <c r="B31" s="17" t="inlineStr">
        <is>
          <t>Which production line and date are printed on the traceability label?</t>
        </is>
      </c>
      <c r="C31" s="17" t="inlineStr">
        <is>
          <t>en</t>
        </is>
      </c>
      <c r="D31" s="17" t="inlineStr">
        <is>
          <t>Which production line and date are printed on the traceability label?</t>
        </is>
      </c>
      <c r="E31" s="17" t="inlineStr">
        <is>
          <t>en</t>
        </is>
      </c>
      <c r="F31" s="18" t="b">
        <v>1</v>
      </c>
      <c r="G31" s="17" t="inlineStr">
        <is>
          <t>Line A3, production date 2026-09-15.</t>
        </is>
      </c>
      <c r="H31" s="17" t="inlineStr">
        <is>
          <t>Line A3, production date 2026-09-15.</t>
        </is>
      </c>
      <c r="I31" s="17" t="inlineStr">
        <is>
          <t>Production line A3
Production date 2026-09-15</t>
        </is>
      </c>
      <c r="J31" s="17" t="inlineStr">
        <is>
          <t>Production line A3
Production date 2026-09-15</t>
        </is>
      </c>
      <c r="K31" s="17" t="inlineStr">
        <is>
          <t>visual_payload_extraction</t>
        </is>
      </c>
      <c r="L31" s="17" t="inlineStr">
        <is>
          <t>medium</t>
        </is>
      </c>
      <c r="M31" s="17" t="inlineStr">
        <is>
          <t>EV-G122-01</t>
        </is>
      </c>
      <c r="N31" s="17" t="inlineStr">
        <is>
          <t>IMG-LABEL-001</t>
        </is>
      </c>
      <c r="O31" s="17" t="inlineStr">
        <is>
          <t>data/denso_factory_hack_data_prep/images/pallet_traceability_label.png</t>
        </is>
      </c>
      <c r="P31" s="18" t="inlineStr">
        <is>
          <t>1</t>
        </is>
      </c>
      <c r="Q31" s="17" t="inlineStr">
        <is>
          <t>Traceability / pallet label - Production line and date fields</t>
        </is>
      </c>
      <c r="R31" s="17" t="inlineStr">
        <is>
          <t>Line: A3; Production date: 2026-09-15</t>
        </is>
      </c>
      <c r="S31" s="17" t="inlineStr">
        <is>
          <t>G122-E01</t>
        </is>
      </c>
      <c r="T31" s="17" t="inlineStr">
        <is>
          <t>source_verified_pending_human_signoff</t>
        </is>
      </c>
      <c r="U31" s="17" t="inlineStr">
        <is>
          <t>Answer and locator checked against the current synthetic source pack; human sign-off is still pending.</t>
        </is>
      </c>
      <c r="V31" s="14" t="inlineStr">
        <is>
          <t>Pending</t>
        </is>
      </c>
      <c r="W31" s="14" t="inlineStr">
        <is>
          <t>Pending</t>
        </is>
      </c>
      <c r="X31" s="14" t="inlineStr">
        <is>
          <t>N/A</t>
        </is>
      </c>
      <c r="Y31" s="15">
        <f>IF($AB31="Rejected","Rejected - revise",IF(AND($V31="Yes",$W31="Yes",OR($X31="Approved",$X31="N/A")),"Ready for sign-off","Review required"))</f>
        <v/>
      </c>
      <c r="Z31" s="14" t="inlineStr"/>
      <c r="AA31" s="16" t="n"/>
      <c r="AB31" s="14" t="inlineStr">
        <is>
          <t>Pending</t>
        </is>
      </c>
      <c r="AC31" s="14" t="inlineStr"/>
    </row>
    <row r="32" ht="42" customHeight="1">
      <c r="A32" s="10" t="inlineStr">
        <is>
          <t>G123</t>
        </is>
      </c>
      <c r="B32" s="11" t="inlineStr">
        <is>
          <t>フォークリフトの運転者は、見通しの悪い曲がり角や出入口でどのような合図をすべきですか。</t>
        </is>
      </c>
      <c r="C32" s="12" t="inlineStr">
        <is>
          <t>ja</t>
        </is>
      </c>
      <c r="D32" s="10" t="inlineStr">
        <is>
          <t>What signal should a forklift operator use at blind corners and doorways?</t>
        </is>
      </c>
      <c r="E32" s="10" t="inlineStr">
        <is>
          <t>en</t>
        </is>
      </c>
      <c r="F32" s="13" t="b">
        <v>1</v>
      </c>
      <c r="G32" s="10" t="inlineStr">
        <is>
          <t>見通しの悪い曲がり角や出入口では、警笛を鳴らします。</t>
        </is>
      </c>
      <c r="H32" s="10" t="inlineStr">
        <is>
          <t>Sound the horn at blind corners and doorways.</t>
        </is>
      </c>
      <c r="I32" s="10" t="inlineStr">
        <is>
          <t>見通しの悪い曲がり角や出入口では警笛を鳴らす</t>
        </is>
      </c>
      <c r="J32" s="10" t="inlineStr">
        <is>
          <t>Sound horn at blind corners and doorways</t>
        </is>
      </c>
      <c r="K32" s="10" t="inlineStr">
        <is>
          <t>visual_instruction</t>
        </is>
      </c>
      <c r="L32" s="10" t="inlineStr">
        <is>
          <t>easy</t>
        </is>
      </c>
      <c r="M32" s="10" t="inlineStr">
        <is>
          <t>EV-G123-01</t>
        </is>
      </c>
      <c r="N32" s="10" t="inlineStr">
        <is>
          <t>IMG-SAFE-001</t>
        </is>
      </c>
      <c r="O32" s="10" t="inlineStr">
        <is>
          <t>data/denso_factory_hack_data_prep/images/bilingual_forklift_safety_poster_scan.jpg</t>
        </is>
      </c>
      <c r="P32" s="13" t="inlineStr">
        <is>
          <t>1</t>
        </is>
      </c>
      <c r="Q32" s="10" t="inlineStr">
        <is>
          <t>Forklift safety poster - Rule 2</t>
        </is>
      </c>
      <c r="R32" s="10" t="inlineStr">
        <is>
          <t>EN: Sound horn at blind corners and doorways.</t>
        </is>
      </c>
      <c r="S32" s="10" t="inlineStr">
        <is>
          <t>G123-E01</t>
        </is>
      </c>
      <c r="T32" s="10" t="inlineStr">
        <is>
          <t>source_verified_pending_human_signoff</t>
        </is>
      </c>
      <c r="U32" s="10" t="inlineStr">
        <is>
          <t>Answer and locator checked against the current synthetic source pack; human sign-off is still pending.</t>
        </is>
      </c>
      <c r="V32" s="14" t="inlineStr">
        <is>
          <t>Pending</t>
        </is>
      </c>
      <c r="W32" s="14" t="inlineStr">
        <is>
          <t>Pending</t>
        </is>
      </c>
      <c r="X32" s="14" t="inlineStr">
        <is>
          <t>Pending</t>
        </is>
      </c>
      <c r="Y32" s="15">
        <f>IF($AB32="Rejected","Rejected - revise",IF(AND($V32="Yes",$W32="Yes",OR($X32="Approved",$X32="N/A")),"Ready for sign-off","Review required"))</f>
        <v/>
      </c>
      <c r="Z32" s="14" t="inlineStr"/>
      <c r="AA32" s="16" t="n"/>
      <c r="AB32" s="14" t="inlineStr">
        <is>
          <t>Pending</t>
        </is>
      </c>
      <c r="AC32" s="14" t="inlineStr"/>
    </row>
    <row r="33" ht="42" customHeight="1">
      <c r="A33" s="17" t="inlineStr">
        <is>
          <t>G124</t>
        </is>
      </c>
      <c r="B33" s="17" t="inlineStr">
        <is>
          <t>What should operators do if the forklift warning lights do not work?</t>
        </is>
      </c>
      <c r="C33" s="17" t="inlineStr">
        <is>
          <t>en</t>
        </is>
      </c>
      <c r="D33" s="17" t="inlineStr">
        <is>
          <t>What should operators do if the forklift warning lights do not work?</t>
        </is>
      </c>
      <c r="E33" s="17" t="inlineStr">
        <is>
          <t>en</t>
        </is>
      </c>
      <c r="F33" s="18" t="b">
        <v>1</v>
      </c>
      <c r="G33" s="17" t="inlineStr">
        <is>
          <t>Stop and report the issue.</t>
        </is>
      </c>
      <c r="H33" s="17" t="inlineStr">
        <is>
          <t>Stop and report the issue.</t>
        </is>
      </c>
      <c r="I33" s="17" t="inlineStr">
        <is>
          <t>Stop and report if warning lights do not work</t>
        </is>
      </c>
      <c r="J33" s="17" t="inlineStr">
        <is>
          <t>Stop and report if warning lights do not work</t>
        </is>
      </c>
      <c r="K33" s="17" t="inlineStr">
        <is>
          <t>visual_instruction</t>
        </is>
      </c>
      <c r="L33" s="17" t="inlineStr">
        <is>
          <t>easy</t>
        </is>
      </c>
      <c r="M33" s="17" t="inlineStr">
        <is>
          <t>EV-G124-01</t>
        </is>
      </c>
      <c r="N33" s="17" t="inlineStr">
        <is>
          <t>IMG-SAFE-001</t>
        </is>
      </c>
      <c r="O33" s="17" t="inlineStr">
        <is>
          <t>data/denso_factory_hack_data_prep/images/bilingual_forklift_safety_poster_scan.jpg</t>
        </is>
      </c>
      <c r="P33" s="18" t="inlineStr">
        <is>
          <t>1</t>
        </is>
      </c>
      <c r="Q33" s="17" t="inlineStr">
        <is>
          <t>Forklift safety poster - Rule 5</t>
        </is>
      </c>
      <c r="R33" s="17" t="inlineStr">
        <is>
          <t>EN: Stop and report if warning lights do not work.</t>
        </is>
      </c>
      <c r="S33" s="17" t="inlineStr">
        <is>
          <t>G124-E01</t>
        </is>
      </c>
      <c r="T33" s="17" t="inlineStr">
        <is>
          <t>source_verified_pending_human_signoff</t>
        </is>
      </c>
      <c r="U33" s="17" t="inlineStr">
        <is>
          <t>Answer and locator checked against the current synthetic source pack; human sign-off is still pending.</t>
        </is>
      </c>
      <c r="V33" s="14" t="inlineStr">
        <is>
          <t>Pending</t>
        </is>
      </c>
      <c r="W33" s="14" t="inlineStr">
        <is>
          <t>Pending</t>
        </is>
      </c>
      <c r="X33" s="14" t="inlineStr">
        <is>
          <t>N/A</t>
        </is>
      </c>
      <c r="Y33" s="15">
        <f>IF($AB33="Rejected","Rejected - revise",IF(AND($V33="Yes",$W33="Yes",OR($X33="Approved",$X33="N/A")),"Ready for sign-off","Review required"))</f>
        <v/>
      </c>
      <c r="Z33" s="14" t="inlineStr"/>
      <c r="AA33" s="16" t="n"/>
      <c r="AB33" s="14" t="inlineStr">
        <is>
          <t>Pending</t>
        </is>
      </c>
      <c r="AC33" s="14" t="inlineStr"/>
    </row>
    <row r="34" ht="66" customHeight="1">
      <c r="A34" s="10" t="inlineStr">
        <is>
          <t>G125</t>
        </is>
      </c>
      <c r="B34" s="11" t="inlineStr">
        <is>
          <t>ラインA3の07:00～08:00と12:00～13:00の実績生産数の合計はいくつですか。</t>
        </is>
      </c>
      <c r="C34" s="12" t="inlineStr">
        <is>
          <t>ja</t>
        </is>
      </c>
      <c r="D34" s="10" t="inlineStr">
        <is>
          <t>What was the combined actual output for 07:00-08:00 and 12:00-13:00 on Line A3?</t>
        </is>
      </c>
      <c r="E34" s="10" t="inlineStr">
        <is>
          <t>en</t>
        </is>
      </c>
      <c r="F34" s="13" t="b">
        <v>1</v>
      </c>
      <c r="G34" s="10" t="inlineStr">
        <is>
          <t>2時間の実績生産数は合計1,365個です（690個 + 675個）。</t>
        </is>
      </c>
      <c r="H34" s="10" t="inlineStr">
        <is>
          <t>The two hours produced 1,365 pieces in total (690 + 675).</t>
        </is>
      </c>
      <c r="I34" s="10" t="inlineStr">
        <is>
          <t>2時間の実績生産数は1,365個
内訳は690個と675個</t>
        </is>
      </c>
      <c r="J34" s="10" t="inlineStr">
        <is>
          <t>07:00-08:00 actual output 690 pcs
12:00-13:00 actual output 675 pcs
Combined actual output 1365 pcs</t>
        </is>
      </c>
      <c r="K34" s="10" t="inlineStr">
        <is>
          <t>spreadsheet_aggregation</t>
        </is>
      </c>
      <c r="L34" s="10" t="inlineStr">
        <is>
          <t>medium</t>
        </is>
      </c>
      <c r="M34" s="10" t="inlineStr">
        <is>
          <t>EV-G125-01
EV-G125-02</t>
        </is>
      </c>
      <c r="N34" s="10" t="inlineStr">
        <is>
          <t>TBL-PROD-001</t>
        </is>
      </c>
      <c r="O34" s="10" t="inlineStr">
        <is>
          <t>data/denso_factory_hack_data_prep/tables/production_log.xlsx</t>
        </is>
      </c>
      <c r="P34" s="13" t="inlineStr">
        <is>
          <t>Not paginated</t>
        </is>
      </c>
      <c r="Q34" s="10" t="inlineStr">
        <is>
          <t>Production Log row - 2026-09-15 Shift 1 Line A3 07:00-08:00
Production Log row - 2026-09-15 Shift 1 Line A3 12:00-13:00</t>
        </is>
      </c>
      <c r="R34" s="10" t="inlineStr">
        <is>
          <t>Date=2026-09-15 | Shift=1 | Line=A3 | Hour=07:00-08:00 | Target=714 pcs | Actual=690 pcs
Date=2026-09-15 | Shift=1 | Line=A3 | Hour=12:00-13:00 | Actual=675 pcs | Scrap=5 pcs | Downtime=2 min | Top reason=Minor jam</t>
        </is>
      </c>
      <c r="S34" s="10" t="inlineStr">
        <is>
          <t>G125-E01
G125-E02</t>
        </is>
      </c>
      <c r="T34" s="10" t="inlineStr">
        <is>
          <t>source_verified_pending_human_signoff</t>
        </is>
      </c>
      <c r="U34" s="10" t="inlineStr">
        <is>
          <t>Answer and locator checked against the current synthetic source pack; human sign-off is still pending.</t>
        </is>
      </c>
      <c r="V34" s="14" t="inlineStr">
        <is>
          <t>Pending</t>
        </is>
      </c>
      <c r="W34" s="14" t="inlineStr">
        <is>
          <t>Pending</t>
        </is>
      </c>
      <c r="X34" s="14" t="inlineStr">
        <is>
          <t>Pending</t>
        </is>
      </c>
      <c r="Y34" s="15">
        <f>IF($AB34="Rejected","Rejected - revise",IF(AND($V34="Yes",$W34="Yes",OR($X34="Approved",$X34="N/A")),"Ready for sign-off","Review required"))</f>
        <v/>
      </c>
      <c r="Z34" s="14" t="inlineStr"/>
      <c r="AA34" s="16" t="n"/>
      <c r="AB34" s="14" t="inlineStr">
        <is>
          <t>Pending</t>
        </is>
      </c>
      <c r="AC34" s="14" t="inlineStr"/>
    </row>
    <row r="35" ht="42" customHeight="1">
      <c r="A35" s="17" t="inlineStr">
        <is>
          <t>G126</t>
        </is>
      </c>
      <c r="B35" s="17" t="inlineStr">
        <is>
          <t>What caused the 12:00-13:00 downtime on Line A3, and how many minutes were recorded?</t>
        </is>
      </c>
      <c r="C35" s="17" t="inlineStr">
        <is>
          <t>en</t>
        </is>
      </c>
      <c r="D35" s="17" t="inlineStr">
        <is>
          <t>What caused the 12:00-13:00 downtime on Line A3, and how many minutes were recorded?</t>
        </is>
      </c>
      <c r="E35" s="17" t="inlineStr">
        <is>
          <t>en</t>
        </is>
      </c>
      <c r="F35" s="18" t="b">
        <v>1</v>
      </c>
      <c r="G35" s="17" t="inlineStr">
        <is>
          <t>A minor jam caused 2 minutes of downtime.</t>
        </is>
      </c>
      <c r="H35" s="17" t="inlineStr">
        <is>
          <t>A minor jam caused 2 minutes of downtime.</t>
        </is>
      </c>
      <c r="I35" s="17" t="inlineStr">
        <is>
          <t>Top reason Minor jam
Downtime 2 min</t>
        </is>
      </c>
      <c r="J35" s="17" t="inlineStr">
        <is>
          <t>Top reason Minor jam
Downtime 2 min</t>
        </is>
      </c>
      <c r="K35" s="17" t="inlineStr">
        <is>
          <t>spreadsheet_row_lookup</t>
        </is>
      </c>
      <c r="L35" s="17" t="inlineStr">
        <is>
          <t>medium</t>
        </is>
      </c>
      <c r="M35" s="17" t="inlineStr">
        <is>
          <t>EV-G126-01</t>
        </is>
      </c>
      <c r="N35" s="17" t="inlineStr">
        <is>
          <t>TBL-PROD-001</t>
        </is>
      </c>
      <c r="O35" s="17" t="inlineStr">
        <is>
          <t>data/denso_factory_hack_data_prep/tables/production_log.xlsx</t>
        </is>
      </c>
      <c r="P35" s="18" t="inlineStr">
        <is>
          <t>Not paginated</t>
        </is>
      </c>
      <c r="Q35" s="17" t="inlineStr">
        <is>
          <t>Production Log row - 2026-09-15 Shift 1 Line A3 12:00-13:00</t>
        </is>
      </c>
      <c r="R35" s="17" t="inlineStr">
        <is>
          <t>Date=2026-09-15 | Shift=1 | Line=A3 | Hour=12:00-13:00 | Actual=675 pcs | Scrap=5 pcs | Downtime=2 min | Top reason=Minor jam</t>
        </is>
      </c>
      <c r="S35" s="17" t="inlineStr">
        <is>
          <t>G126-E01</t>
        </is>
      </c>
      <c r="T35" s="17" t="inlineStr">
        <is>
          <t>source_verified_pending_human_signoff</t>
        </is>
      </c>
      <c r="U35" s="17" t="inlineStr">
        <is>
          <t>Answer and locator checked against the current synthetic source pack; human sign-off is still pending.</t>
        </is>
      </c>
      <c r="V35" s="14" t="inlineStr">
        <is>
          <t>Pending</t>
        </is>
      </c>
      <c r="W35" s="14" t="inlineStr">
        <is>
          <t>Pending</t>
        </is>
      </c>
      <c r="X35" s="14" t="inlineStr">
        <is>
          <t>N/A</t>
        </is>
      </c>
      <c r="Y35" s="15">
        <f>IF($AB35="Rejected","Rejected - revise",IF(AND($V35="Yes",$W35="Yes",OR($X35="Approved",$X35="N/A")),"Ready for sign-off","Review required"))</f>
        <v/>
      </c>
      <c r="Z35" s="14" t="inlineStr"/>
      <c r="AA35" s="16" t="n"/>
      <c r="AB35" s="14" t="inlineStr">
        <is>
          <t>Pending</t>
        </is>
      </c>
      <c r="AC35" s="14" t="inlineStr"/>
    </row>
    <row r="36" ht="52" customHeight="1">
      <c r="A36" s="10" t="inlineStr">
        <is>
          <t>G127</t>
        </is>
      </c>
      <c r="B36" s="11" t="inlineStr">
        <is>
          <t>サンプルS12の端子高さの測定値と検査結果は何ですか。</t>
        </is>
      </c>
      <c r="C36" s="12" t="inlineStr">
        <is>
          <t>ja</t>
        </is>
      </c>
      <c r="D36" s="10" t="inlineStr">
        <is>
          <t>What terminal height was measured for sample S12, and what was its inspection result?</t>
        </is>
      </c>
      <c r="E36" s="10" t="inlineStr">
        <is>
          <t>en</t>
        </is>
      </c>
      <c r="F36" s="13" t="b">
        <v>1</v>
      </c>
      <c r="G36" s="10" t="inlineStr">
        <is>
          <t>サンプルS12の端子高さは1.89 mmで、判定は合格（PASS）です。</t>
        </is>
      </c>
      <c r="H36" s="10" t="inlineStr">
        <is>
          <t>Sample S12 measured 1.89 mm and passed.</t>
        </is>
      </c>
      <c r="I36" s="10" t="inlineStr">
        <is>
          <t>サンプルS12の測定値は1.89 mm
検査結果はPASS</t>
        </is>
      </c>
      <c r="J36" s="10" t="inlineStr">
        <is>
          <t>Sample S12
Height 1.89 mm
Result PASS</t>
        </is>
      </c>
      <c r="K36" s="10" t="inlineStr">
        <is>
          <t>spreadsheet_row_lookup</t>
        </is>
      </c>
      <c r="L36" s="10" t="inlineStr">
        <is>
          <t>easy</t>
        </is>
      </c>
      <c r="M36" s="10" t="inlineStr">
        <is>
          <t>EV-G127-01</t>
        </is>
      </c>
      <c r="N36" s="10" t="inlineStr">
        <is>
          <t>TBL-QLT-001</t>
        </is>
      </c>
      <c r="O36" s="10" t="inlineStr">
        <is>
          <t>data/denso_factory_hack_data_prep/tables/quality_inspection_results.xlsx</t>
        </is>
      </c>
      <c r="P36" s="13" t="inlineStr">
        <is>
          <t>Not paginated</t>
        </is>
      </c>
      <c r="Q36" s="10" t="inlineStr">
        <is>
          <t>Inspection Results row - Sample S12</t>
        </is>
      </c>
      <c r="R36" s="10" t="inlineStr">
        <is>
          <t>Sample ID=S12 | Terminal Height=1.89 mm | Spec=1.80-1.90 mm | Result=PASS</t>
        </is>
      </c>
      <c r="S36" s="10" t="inlineStr">
        <is>
          <t>G127-E01</t>
        </is>
      </c>
      <c r="T36" s="10" t="inlineStr">
        <is>
          <t>source_verified_pending_human_signoff</t>
        </is>
      </c>
      <c r="U36" s="10" t="inlineStr">
        <is>
          <t>Answer and locator checked against the current synthetic source pack; human sign-off is still pending.</t>
        </is>
      </c>
      <c r="V36" s="14" t="inlineStr">
        <is>
          <t>Pending</t>
        </is>
      </c>
      <c r="W36" s="14" t="inlineStr">
        <is>
          <t>Pending</t>
        </is>
      </c>
      <c r="X36" s="14" t="inlineStr">
        <is>
          <t>Pending</t>
        </is>
      </c>
      <c r="Y36" s="15">
        <f>IF($AB36="Rejected","Rejected - revise",IF(AND($V36="Yes",$W36="Yes",OR($X36="Approved",$X36="N/A")),"Ready for sign-off","Review required"))</f>
        <v/>
      </c>
      <c r="Z36" s="14" t="inlineStr"/>
      <c r="AA36" s="16" t="n"/>
      <c r="AB36" s="14" t="inlineStr">
        <is>
          <t>Pending</t>
        </is>
      </c>
      <c r="AC36" s="14" t="inlineStr"/>
    </row>
    <row r="37" ht="66" customHeight="1">
      <c r="A37" s="17" t="inlineStr">
        <is>
          <t>G128</t>
        </is>
      </c>
      <c r="B37" s="17" t="inlineStr">
        <is>
          <t>Who inspected sample S08, and what result was recorded?</t>
        </is>
      </c>
      <c r="C37" s="17" t="inlineStr">
        <is>
          <t>en</t>
        </is>
      </c>
      <c r="D37" s="17" t="inlineStr">
        <is>
          <t>Who inspected sample S08, and what result was recorded?</t>
        </is>
      </c>
      <c r="E37" s="17" t="inlineStr">
        <is>
          <t>en</t>
        </is>
      </c>
      <c r="F37" s="18" t="b">
        <v>1</v>
      </c>
      <c r="G37" s="17" t="inlineStr">
        <is>
          <t>Inspector QI-02 recorded a PASS for sample S08 at 1.81 mm.</t>
        </is>
      </c>
      <c r="H37" s="17" t="inlineStr">
        <is>
          <t>Inspector QI-02 recorded a PASS for sample S08 at 1.81 mm.</t>
        </is>
      </c>
      <c r="I37" s="17" t="inlineStr">
        <is>
          <t>Sample S08
Inspector QI-02
Height 1.81 mm
Result PASS</t>
        </is>
      </c>
      <c r="J37" s="17" t="inlineStr">
        <is>
          <t>Sample S08
Inspector QI-02
Height 1.81 mm
Result PASS</t>
        </is>
      </c>
      <c r="K37" s="17" t="inlineStr">
        <is>
          <t>spreadsheet_row_lookup</t>
        </is>
      </c>
      <c r="L37" s="17" t="inlineStr">
        <is>
          <t>easy</t>
        </is>
      </c>
      <c r="M37" s="17" t="inlineStr">
        <is>
          <t>EV-G128-01</t>
        </is>
      </c>
      <c r="N37" s="17" t="inlineStr">
        <is>
          <t>TBL-QLT-001</t>
        </is>
      </c>
      <c r="O37" s="17" t="inlineStr">
        <is>
          <t>data/denso_factory_hack_data_prep/tables/quality_inspection_results.xlsx</t>
        </is>
      </c>
      <c r="P37" s="18" t="inlineStr">
        <is>
          <t>Not paginated</t>
        </is>
      </c>
      <c r="Q37" s="17" t="inlineStr">
        <is>
          <t>Inspection Results row - Sample S08</t>
        </is>
      </c>
      <c r="R37" s="17" t="inlineStr">
        <is>
          <t>Sample ID=S08 | Terminal Height=1.81 mm | Result=PASS | Inspector=QI-02</t>
        </is>
      </c>
      <c r="S37" s="17" t="inlineStr">
        <is>
          <t>G128-E01</t>
        </is>
      </c>
      <c r="T37" s="17" t="inlineStr">
        <is>
          <t>source_verified_pending_human_signoff</t>
        </is>
      </c>
      <c r="U37" s="17" t="inlineStr">
        <is>
          <t>Answer and locator checked against the current synthetic source pack; human sign-off is still pending.</t>
        </is>
      </c>
      <c r="V37" s="14" t="inlineStr">
        <is>
          <t>Pending</t>
        </is>
      </c>
      <c r="W37" s="14" t="inlineStr">
        <is>
          <t>Pending</t>
        </is>
      </c>
      <c r="X37" s="14" t="inlineStr">
        <is>
          <t>N/A</t>
        </is>
      </c>
      <c r="Y37" s="15">
        <f>IF($AB37="Rejected","Rejected - revise",IF(AND($V37="Yes",$W37="Yes",OR($X37="Approved",$X37="N/A")),"Ready for sign-off","Review required"))</f>
        <v/>
      </c>
      <c r="Z37" s="14" t="inlineStr"/>
      <c r="AA37" s="16" t="n"/>
      <c r="AB37" s="14" t="inlineStr">
        <is>
          <t>Pending</t>
        </is>
      </c>
      <c r="AC37" s="14" t="inlineStr"/>
    </row>
    <row r="38" ht="42" customHeight="1">
      <c r="A38" s="10" t="inlineStr">
        <is>
          <t>G129</t>
        </is>
      </c>
      <c r="B38" s="11" t="inlineStr">
        <is>
          <t>9月3日に発生した断続的な低圧の問題に対して、どのような是正措置が記録されていますか。</t>
        </is>
      </c>
      <c r="C38" s="12" t="inlineStr">
        <is>
          <t>ja</t>
        </is>
      </c>
      <c r="D38" s="10" t="inlineStr">
        <is>
          <t>What corrective actions were recorded for the intermittent low-pressure issue on September 3?</t>
        </is>
      </c>
      <c r="E38" s="10" t="inlineStr">
        <is>
          <t>en</t>
        </is>
      </c>
      <c r="F38" s="13" t="b">
        <v>1</v>
      </c>
      <c r="G38" s="10" t="inlineStr">
        <is>
          <t>レギュレーターを調整し、漏れ検査に合格しました。</t>
        </is>
      </c>
      <c r="H38" s="10" t="inlineStr">
        <is>
          <t>The regulator was adjusted, and the leak check passed.</t>
        </is>
      </c>
      <c r="I38" s="10" t="inlineStr">
        <is>
          <t>レギュレーターを調整した
漏れ検査に合格した</t>
        </is>
      </c>
      <c r="J38" s="10" t="inlineStr">
        <is>
          <t>Adjusted regulator
Leak check passed</t>
        </is>
      </c>
      <c r="K38" s="10" t="inlineStr">
        <is>
          <t>maintenance_record_lookup</t>
        </is>
      </c>
      <c r="L38" s="10" t="inlineStr">
        <is>
          <t>medium</t>
        </is>
      </c>
      <c r="M38" s="10" t="inlineStr">
        <is>
          <t>EV-G129-01</t>
        </is>
      </c>
      <c r="N38" s="10" t="inlineStr">
        <is>
          <t>TBL-MNT-001</t>
        </is>
      </c>
      <c r="O38" s="10" t="inlineStr">
        <is>
          <t>data/denso_factory_hack_data_prep/tables/maintenance_history.xlsx</t>
        </is>
      </c>
      <c r="P38" s="13" t="inlineStr">
        <is>
          <t>Not paginated</t>
        </is>
      </c>
      <c r="Q38" s="10" t="inlineStr">
        <is>
          <t>Maintenance History row - 2026-09-03 PRS-A3-04</t>
        </is>
      </c>
      <c r="R38" s="10" t="inlineStr">
        <is>
          <t>Issue / Work=Intermittent pressure low | Action=Adjusted regulator; leak check passed | Status=Closed</t>
        </is>
      </c>
      <c r="S38" s="10" t="inlineStr">
        <is>
          <t>G129-E01</t>
        </is>
      </c>
      <c r="T38" s="10" t="inlineStr">
        <is>
          <t>source_verified_pending_human_signoff</t>
        </is>
      </c>
      <c r="U38" s="10" t="inlineStr">
        <is>
          <t>Answer and locator checked against the current synthetic source pack; human sign-off is still pending.</t>
        </is>
      </c>
      <c r="V38" s="14" t="inlineStr">
        <is>
          <t>Pending</t>
        </is>
      </c>
      <c r="W38" s="14" t="inlineStr">
        <is>
          <t>Pending</t>
        </is>
      </c>
      <c r="X38" s="14" t="inlineStr">
        <is>
          <t>Pending</t>
        </is>
      </c>
      <c r="Y38" s="15">
        <f>IF($AB38="Rejected","Rejected - revise",IF(AND($V38="Yes",$W38="Yes",OR($X38="Approved",$X38="N/A")),"Ready for sign-off","Review required"))</f>
        <v/>
      </c>
      <c r="Z38" s="14" t="inlineStr"/>
      <c r="AA38" s="16" t="n"/>
      <c r="AB38" s="14" t="inlineStr">
        <is>
          <t>Pending</t>
        </is>
      </c>
      <c r="AC38" s="14" t="inlineStr"/>
    </row>
    <row r="39" ht="52" customHeight="1">
      <c r="A39" s="17" t="inlineStr">
        <is>
          <t>G130</t>
        </is>
      </c>
      <c r="B39" s="17" t="inlineStr">
        <is>
          <t>After the conveyor chain inspection, what adjustment was made and when was the next due date?</t>
        </is>
      </c>
      <c r="C39" s="17" t="inlineStr">
        <is>
          <t>en</t>
        </is>
      </c>
      <c r="D39" s="17" t="inlineStr">
        <is>
          <t>After the conveyor chain inspection, what adjustment was made and when was the next due date?</t>
        </is>
      </c>
      <c r="E39" s="17" t="inlineStr">
        <is>
          <t>en</t>
        </is>
      </c>
      <c r="F39" s="18" t="b">
        <v>1</v>
      </c>
      <c r="G39" s="17" t="inlineStr">
        <is>
          <t>Tension was adjusted with no parts replaced; the next due date was 2026-10-10.</t>
        </is>
      </c>
      <c r="H39" s="17" t="inlineStr">
        <is>
          <t>Tension was adjusted with no parts replaced; the next due date was 2026-10-10.</t>
        </is>
      </c>
      <c r="I39" s="17" t="inlineStr">
        <is>
          <t>Adjusted tension
No parts replaced
Next due 2026-10-10</t>
        </is>
      </c>
      <c r="J39" s="17" t="inlineStr">
        <is>
          <t>Adjusted tension
No parts replaced
Next due 2026-10-10</t>
        </is>
      </c>
      <c r="K39" s="17" t="inlineStr">
        <is>
          <t>maintenance_record_lookup</t>
        </is>
      </c>
      <c r="L39" s="17" t="inlineStr">
        <is>
          <t>medium</t>
        </is>
      </c>
      <c r="M39" s="17" t="inlineStr">
        <is>
          <t>EV-G130-01</t>
        </is>
      </c>
      <c r="N39" s="17" t="inlineStr">
        <is>
          <t>TBL-MNT-001</t>
        </is>
      </c>
      <c r="O39" s="17" t="inlineStr">
        <is>
          <t>data/denso_factory_hack_data_prep/tables/maintenance_history.xlsx</t>
        </is>
      </c>
      <c r="P39" s="18" t="inlineStr">
        <is>
          <t>Not paginated</t>
        </is>
      </c>
      <c r="Q39" s="17" t="inlineStr">
        <is>
          <t>Maintenance History row - 2026-09-10 CVR-A3-01</t>
        </is>
      </c>
      <c r="R39" s="17" t="inlineStr">
        <is>
          <t>Date=2026-09-10 | Asset ID=CVR-A3-01 | Machine=Conveyor A3 | Issue / Work=Chain inspection | Action=Adjusted tension; no parts replaced | Next Due=2026-10-10</t>
        </is>
      </c>
      <c r="S39" s="17" t="inlineStr">
        <is>
          <t>G130-E01</t>
        </is>
      </c>
      <c r="T39" s="17" t="inlineStr">
        <is>
          <t>source_verified_pending_human_signoff</t>
        </is>
      </c>
      <c r="U39" s="17" t="inlineStr">
        <is>
          <t>Answer and locator checked against the current synthetic source pack; human sign-off is still pending.</t>
        </is>
      </c>
      <c r="V39" s="14" t="inlineStr">
        <is>
          <t>Pending</t>
        </is>
      </c>
      <c r="W39" s="14" t="inlineStr">
        <is>
          <t>Pending</t>
        </is>
      </c>
      <c r="X39" s="14" t="inlineStr">
        <is>
          <t>N/A</t>
        </is>
      </c>
      <c r="Y39" s="15">
        <f>IF($AB39="Rejected","Rejected - revise",IF(AND($V39="Yes",$W39="Yes",OR($X39="Approved",$X39="N/A")),"Ready for sign-off","Review required"))</f>
        <v/>
      </c>
      <c r="Z39" s="14" t="inlineStr"/>
      <c r="AA39" s="16" t="n"/>
      <c r="AB39" s="14" t="inlineStr">
        <is>
          <t>Pending</t>
        </is>
      </c>
      <c r="AC39" s="14" t="inlineStr"/>
    </row>
    <row r="40" ht="42" customHeight="1">
      <c r="A40" s="10" t="inlineStr">
        <is>
          <t>G131</t>
        </is>
      </c>
      <c r="B40" s="10" t="inlineStr">
        <is>
          <t>What Vietnamese term does the factory dictionary use for "first-piece approval"?</t>
        </is>
      </c>
      <c r="C40" s="10" t="inlineStr">
        <is>
          <t>en</t>
        </is>
      </c>
      <c r="D40" s="10" t="inlineStr">
        <is>
          <t>What Vietnamese term does the factory dictionary use for "first-piece approval"?</t>
        </is>
      </c>
      <c r="E40" s="10" t="inlineStr">
        <is>
          <t>en</t>
        </is>
      </c>
      <c r="F40" s="13" t="b">
        <v>1</v>
      </c>
      <c r="G40" s="10" t="inlineStr">
        <is>
          <t>It translates to "phê duyệt sản phẩm đầu tiên".</t>
        </is>
      </c>
      <c r="H40" s="10" t="inlineStr">
        <is>
          <t>It translates to "phê duyệt sản phẩm đầu tiên".</t>
        </is>
      </c>
      <c r="I40" s="10" t="inlineStr">
        <is>
          <t>First-piece approval translates to phê duyệt sản phẩm đầu tiên</t>
        </is>
      </c>
      <c r="J40" s="10" t="inlineStr">
        <is>
          <t>First-piece approval translates to phê duyệt sản phẩm đầu tiên</t>
        </is>
      </c>
      <c r="K40" s="10" t="inlineStr">
        <is>
          <t>bilingual_dictionary_lookup</t>
        </is>
      </c>
      <c r="L40" s="10" t="inlineStr">
        <is>
          <t>easy</t>
        </is>
      </c>
      <c r="M40" s="10" t="inlineStr">
        <is>
          <t>EV-G131-01</t>
        </is>
      </c>
      <c r="N40" s="10" t="inlineStr">
        <is>
          <t>TBL-DICT-001</t>
        </is>
      </c>
      <c r="O40" s="10" t="inlineStr">
        <is>
          <t>data/denso_factory_hack_data_prep/tables/bilingual_term_dictionary.xlsx</t>
        </is>
      </c>
      <c r="P40" s="13" t="inlineStr">
        <is>
          <t>Not paginated</t>
        </is>
      </c>
      <c r="Q40" s="10" t="inlineStr">
        <is>
          <t>EN-VI Dictionary row T009</t>
        </is>
      </c>
      <c r="R40" s="10" t="inlineStr">
        <is>
          <t>Term ID=T009 | English=first-piece approval | Vietnamese=phê duyệt sản phẩm đầu tiên | Factory context / example=Restart only after first-piece approval.</t>
        </is>
      </c>
      <c r="S40" s="10" t="inlineStr">
        <is>
          <t>G131-E01</t>
        </is>
      </c>
      <c r="T40" s="10" t="inlineStr">
        <is>
          <t>source_verified_pending_human_signoff</t>
        </is>
      </c>
      <c r="U40" s="10" t="inlineStr">
        <is>
          <t>Answer and locator checked against the current synthetic source pack; human sign-off is still pending.</t>
        </is>
      </c>
      <c r="V40" s="14" t="inlineStr">
        <is>
          <t>Pending</t>
        </is>
      </c>
      <c r="W40" s="14" t="inlineStr">
        <is>
          <t>Pending</t>
        </is>
      </c>
      <c r="X40" s="14" t="inlineStr">
        <is>
          <t>N/A</t>
        </is>
      </c>
      <c r="Y40" s="15">
        <f>IF($AB40="Rejected","Rejected - revise",IF(AND($V40="Yes",$W40="Yes",OR($X40="Approved",$X40="N/A")),"Ready for sign-off","Review required"))</f>
        <v/>
      </c>
      <c r="Z40" s="14" t="inlineStr"/>
      <c r="AA40" s="16" t="n"/>
      <c r="AB40" s="14" t="inlineStr">
        <is>
          <t>Pending</t>
        </is>
      </c>
      <c r="AC40" s="14" t="inlineStr"/>
    </row>
    <row r="41" ht="42" customHeight="1">
      <c r="A41" s="17" t="inlineStr">
        <is>
          <t>G132</t>
        </is>
      </c>
      <c r="B41" s="17" t="inlineStr">
        <is>
          <t>How does the factory dictionary translate "preventive maintenance"?</t>
        </is>
      </c>
      <c r="C41" s="17" t="inlineStr">
        <is>
          <t>en</t>
        </is>
      </c>
      <c r="D41" s="17" t="inlineStr">
        <is>
          <t>How does the factory dictionary translate "preventive maintenance"?</t>
        </is>
      </c>
      <c r="E41" s="17" t="inlineStr">
        <is>
          <t>en</t>
        </is>
      </c>
      <c r="F41" s="18" t="b">
        <v>1</v>
      </c>
      <c r="G41" s="17" t="inlineStr">
        <is>
          <t>"Preventive maintenance" is "bảo trì phòng ngừa" in Vietnamese.</t>
        </is>
      </c>
      <c r="H41" s="17" t="inlineStr">
        <is>
          <t>"Preventive maintenance" is "bảo trì phòng ngừa" in Vietnamese.</t>
        </is>
      </c>
      <c r="I41" s="17" t="inlineStr">
        <is>
          <t>Preventive maintenance translates to bảo trì phòng ngừa</t>
        </is>
      </c>
      <c r="J41" s="17" t="inlineStr">
        <is>
          <t>Preventive maintenance translates to bảo trì phòng ngừa</t>
        </is>
      </c>
      <c r="K41" s="17" t="inlineStr">
        <is>
          <t>bilingual_dictionary_lookup</t>
        </is>
      </c>
      <c r="L41" s="17" t="inlineStr">
        <is>
          <t>easy</t>
        </is>
      </c>
      <c r="M41" s="17" t="inlineStr">
        <is>
          <t>EV-G132-01</t>
        </is>
      </c>
      <c r="N41" s="17" t="inlineStr">
        <is>
          <t>TBL-DICT-001</t>
        </is>
      </c>
      <c r="O41" s="17" t="inlineStr">
        <is>
          <t>data/denso_factory_hack_data_prep/tables/bilingual_term_dictionary.xlsx</t>
        </is>
      </c>
      <c r="P41" s="18" t="inlineStr">
        <is>
          <t>Not paginated</t>
        </is>
      </c>
      <c r="Q41" s="17" t="inlineStr">
        <is>
          <t>EN-VI Dictionary row T007</t>
        </is>
      </c>
      <c r="R41" s="17" t="inlineStr">
        <is>
          <t>Term ID=T007 | English=preventive maintenance | Vietnamese=bảo trì phòng ngừa | Factory context / example=Monthly preventive maintenance for SP-04.</t>
        </is>
      </c>
      <c r="S41" s="17" t="inlineStr">
        <is>
          <t>G132-E01</t>
        </is>
      </c>
      <c r="T41" s="17" t="inlineStr">
        <is>
          <t>source_verified_pending_human_signoff</t>
        </is>
      </c>
      <c r="U41" s="17" t="inlineStr">
        <is>
          <t>Answer and locator checked against the current synthetic source pack; human sign-off is still pending.</t>
        </is>
      </c>
      <c r="V41" s="14" t="inlineStr">
        <is>
          <t>Pending</t>
        </is>
      </c>
      <c r="W41" s="14" t="inlineStr">
        <is>
          <t>Pending</t>
        </is>
      </c>
      <c r="X41" s="14" t="inlineStr">
        <is>
          <t>N/A</t>
        </is>
      </c>
      <c r="Y41" s="15">
        <f>IF($AB41="Rejected","Rejected - revise",IF(AND($V41="Yes",$W41="Yes",OR($X41="Approved",$X41="N/A")),"Ready for sign-off","Review required"))</f>
        <v/>
      </c>
      <c r="Z41" s="14" t="inlineStr"/>
      <c r="AA41" s="16" t="n"/>
      <c r="AB41" s="14" t="inlineStr">
        <is>
          <t>Pending</t>
        </is>
      </c>
      <c r="AC41" s="14" t="inlineStr"/>
    </row>
    <row r="42" ht="52" customHeight="1">
      <c r="A42" s="10" t="inlineStr">
        <is>
          <t>G133</t>
        </is>
      </c>
      <c r="B42" s="11" t="inlineStr">
        <is>
          <t>不良コードD12について、どのような不具合が記載され、重大度と合格判定基準は何ですか。</t>
        </is>
      </c>
      <c r="C42" s="12" t="inlineStr">
        <is>
          <t>ja</t>
        </is>
      </c>
      <c r="D42" s="10" t="inlineStr">
        <is>
          <t>For defect D12, what failure is described, how severe is it, and what is the acceptance criterion?</t>
        </is>
      </c>
      <c r="E42" s="10" t="inlineStr">
        <is>
          <t>en</t>
        </is>
      </c>
      <c r="F42" s="13" t="b">
        <v>1</v>
      </c>
      <c r="G42" s="10" t="inlineStr">
        <is>
          <t>D12はコネクターのラッチ割れで、重大度はCriticalです。ラッチ根元を貫通する亀裂があれば不適合と判定します。</t>
        </is>
      </c>
      <c r="H42" s="10" t="inlineStr">
        <is>
          <t>D12 is a critical connector-latch crack; any crack through the latch root meets the criterion.</t>
        </is>
      </c>
      <c r="I42" s="10" t="inlineStr">
        <is>
          <t>D12はコネクターのラッチ割れ
重大度はCritical
ラッチ根元を貫通する亀裂は不適合</t>
        </is>
      </c>
      <c r="J42" s="10" t="inlineStr">
        <is>
          <t>D12 connector latch crack
Severity Critical
Any crack through latch root</t>
        </is>
      </c>
      <c r="K42" s="10" t="inlineStr">
        <is>
          <t>csv_row_lookup</t>
        </is>
      </c>
      <c r="L42" s="10" t="inlineStr">
        <is>
          <t>medium</t>
        </is>
      </c>
      <c r="M42" s="10" t="inlineStr">
        <is>
          <t>EV-G133-01</t>
        </is>
      </c>
      <c r="N42" s="10" t="inlineStr">
        <is>
          <t>TBL-DEF-001</t>
        </is>
      </c>
      <c r="O42" s="10" t="inlineStr">
        <is>
          <t>data/denso_factory_hack_data_prep/tables/defect_catalog.csv</t>
        </is>
      </c>
      <c r="P42" s="13" t="inlineStr">
        <is>
          <t>Not paginated</t>
        </is>
      </c>
      <c r="Q42" s="10" t="inlineStr">
        <is>
          <t>Defect catalog row D12</t>
        </is>
      </c>
      <c r="R42" s="10" t="inlineStr">
        <is>
          <t>defect_code=D12 | english_name=Connector latch crack | severity=Critical | acceptance_criteria=Any crack through latch root</t>
        </is>
      </c>
      <c r="S42" s="10" t="inlineStr">
        <is>
          <t>G133-E01</t>
        </is>
      </c>
      <c r="T42" s="10" t="inlineStr">
        <is>
          <t>source_verified_pending_human_signoff</t>
        </is>
      </c>
      <c r="U42" s="10" t="inlineStr">
        <is>
          <t>Answer and locator checked against the current synthetic source pack; human sign-off is still pending.</t>
        </is>
      </c>
      <c r="V42" s="14" t="inlineStr">
        <is>
          <t>Pending</t>
        </is>
      </c>
      <c r="W42" s="14" t="inlineStr">
        <is>
          <t>Pending</t>
        </is>
      </c>
      <c r="X42" s="14" t="inlineStr">
        <is>
          <t>Pending</t>
        </is>
      </c>
      <c r="Y42" s="15">
        <f>IF($AB42="Rejected","Rejected - revise",IF(AND($V42="Yes",$W42="Yes",OR($X42="Approved",$X42="N/A")),"Ready for sign-off","Review required"))</f>
        <v/>
      </c>
      <c r="Z42" s="14" t="inlineStr"/>
      <c r="AA42" s="16" t="n"/>
      <c r="AB42" s="14" t="inlineStr">
        <is>
          <t>Pending</t>
        </is>
      </c>
      <c r="AC42" s="14" t="inlineStr"/>
    </row>
    <row r="43" ht="52" customHeight="1">
      <c r="A43" s="17" t="inlineStr">
        <is>
          <t>G134</t>
        </is>
      </c>
      <c r="B43" s="17" t="inlineStr">
        <is>
          <t>What condition defines defect D31, and what severity is assigned?</t>
        </is>
      </c>
      <c r="C43" s="17" t="inlineStr">
        <is>
          <t>en</t>
        </is>
      </c>
      <c r="D43" s="17" t="inlineStr">
        <is>
          <t>What condition defines defect D31, and what severity is assigned?</t>
        </is>
      </c>
      <c r="E43" s="17" t="inlineStr">
        <is>
          <t>en</t>
        </is>
      </c>
      <c r="F43" s="18" t="b">
        <v>1</v>
      </c>
      <c r="G43" s="17" t="inlineStr">
        <is>
          <t>D31 is a major seal-not-fully-seated defect; the seal lip must be flush within 0.3 mm.</t>
        </is>
      </c>
      <c r="H43" s="17" t="inlineStr">
        <is>
          <t>D31 is a major seal-not-fully-seated defect; the seal lip must be flush within 0.3 mm.</t>
        </is>
      </c>
      <c r="I43" s="17" t="inlineStr">
        <is>
          <t>D31 seal not fully seated
Severity Major
Seal lip flush within 0.3 mm</t>
        </is>
      </c>
      <c r="J43" s="17" t="inlineStr">
        <is>
          <t>D31 seal not fully seated
Severity Major
Seal lip flush within 0.3 mm</t>
        </is>
      </c>
      <c r="K43" s="17" t="inlineStr">
        <is>
          <t>csv_row_lookup</t>
        </is>
      </c>
      <c r="L43" s="17" t="inlineStr">
        <is>
          <t>medium</t>
        </is>
      </c>
      <c r="M43" s="17" t="inlineStr">
        <is>
          <t>EV-G134-01</t>
        </is>
      </c>
      <c r="N43" s="17" t="inlineStr">
        <is>
          <t>TBL-DEF-001</t>
        </is>
      </c>
      <c r="O43" s="17" t="inlineStr">
        <is>
          <t>data/denso_factory_hack_data_prep/tables/defect_catalog.csv</t>
        </is>
      </c>
      <c r="P43" s="18" t="inlineStr">
        <is>
          <t>Not paginated</t>
        </is>
      </c>
      <c r="Q43" s="17" t="inlineStr">
        <is>
          <t>Defect catalog row D31</t>
        </is>
      </c>
      <c r="R43" s="17" t="inlineStr">
        <is>
          <t>defect_code=D31 | english_name=Seal not fully seated | severity=Major | acceptance_criteria=Seal lip must be flush within 0.3 mm</t>
        </is>
      </c>
      <c r="S43" s="17" t="inlineStr">
        <is>
          <t>G134-E01</t>
        </is>
      </c>
      <c r="T43" s="17" t="inlineStr">
        <is>
          <t>source_verified_pending_human_signoff</t>
        </is>
      </c>
      <c r="U43" s="17" t="inlineStr">
        <is>
          <t>Answer and locator checked against the current synthetic source pack; human sign-off is still pending.</t>
        </is>
      </c>
      <c r="V43" s="14" t="inlineStr">
        <is>
          <t>Pending</t>
        </is>
      </c>
      <c r="W43" s="14" t="inlineStr">
        <is>
          <t>Pending</t>
        </is>
      </c>
      <c r="X43" s="14" t="inlineStr">
        <is>
          <t>N/A</t>
        </is>
      </c>
      <c r="Y43" s="15">
        <f>IF($AB43="Rejected","Rejected - revise",IF(AND($V43="Yes",$W43="Yes",OR($X43="Approved",$X43="N/A")),"Ready for sign-off","Review required"))</f>
        <v/>
      </c>
      <c r="Z43" s="14" t="inlineStr"/>
      <c r="AA43" s="16" t="n"/>
      <c r="AB43" s="14" t="inlineStr">
        <is>
          <t>Pending</t>
        </is>
      </c>
      <c r="AC43" s="14" t="inlineStr"/>
    </row>
  </sheetData>
  <autoFilter ref="A9:AC43"/>
  <conditionalFormatting sqref="AB10:AB43">
    <cfRule type="expression" priority="1" dxfId="0">
      <formula>AB10="Accepted"</formula>
    </cfRule>
    <cfRule type="expression" priority="2" dxfId="1">
      <formula>AB10="Rejected"</formula>
    </cfRule>
  </conditionalFormatting>
  <conditionalFormatting sqref="Y10:Y43">
    <cfRule type="expression" priority="3" dxfId="2">
      <formula>Y10="Review required"</formula>
    </cfRule>
  </conditionalFormatting>
  <dataValidations count="4">
    <dataValidation sqref="V10:V43" showDropDown="0" showInputMessage="0" showErrorMessage="0" allowBlank="0" type="list">
      <formula1>"Pending,Yes,No"</formula1>
    </dataValidation>
    <dataValidation sqref="W10:W43" showDropDown="0" showInputMessage="0" showErrorMessage="0" allowBlank="0" type="list">
      <formula1>"Pending,Yes,No"</formula1>
    </dataValidation>
    <dataValidation sqref="X10:X43" showDropDown="0" showInputMessage="0" showErrorMessage="0" allowBlank="0" type="list">
      <formula1>"Pending,Approved,Needs edits,N/A"</formula1>
    </dataValidation>
    <dataValidation sqref="AB10:AB43" showDropDown="0" showInputMessage="0" showErrorMessage="0" allowBlank="0" type="list">
      <formula1>"Pending,Accepted,Rejected"</formula1>
    </dataValidation>
  </dataValidations>
  <pageMargins left="0.75" right="0.75" top="1" bottom="1" header="0.5" footer="0.5"/>
  <pageSetup orientation="landscape" paperSize="8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FORGE</dc:creator>
  <dc:title xmlns:dc="http://purl.org/dc/elements/1.1/">FORGE Golden Dataset v2 Human Review</dc:title>
  <dc:subject xmlns:dc="http://purl.org/dc/elements/1.1/">English evaluation cases with a Japanese review subset</dc:subject>
  <dcterms:created xmlns:dcterms="http://purl.org/dc/terms/" xmlns:xsi="http://www.w3.org/2001/XMLSchema-instance" xsi:type="dcterms:W3CDTF">2026-10-10T09:00:19Z</dcterms:created>
  <dcterms:modified xmlns:dcterms="http://purl.org/dc/terms/" xmlns:xsi="http://www.w3.org/2001/XMLSchema-instance" xsi:type="dcterms:W3CDTF">2026-10-10T09:00:19Z</dcterms:modified>
</cp:coreProperties>
</file>