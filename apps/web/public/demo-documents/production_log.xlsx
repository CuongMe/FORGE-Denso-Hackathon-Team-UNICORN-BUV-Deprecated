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3eb03f629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Log" sheetId="1" r:id="R497136fa73b74cb4"/>
    <x:sheet xmlns:r="http://schemas.openxmlformats.org/officeDocument/2006/relationships" name="Summary" sheetId="2" r:id="R67ead5863495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820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054"/>
      </x:patternFill>
    </x:fill>
    <x:fill>
      <x:patternFill patternType="solid">
        <x:fgColor rgb="FFEAF5F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C6282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fc9efd2cb4029" /><Relationship Type="http://schemas.openxmlformats.org/officeDocument/2006/relationships/theme" Target="/xl/theme/theme1.xml" Id="R79c5e60afb7d4d5d" /><Relationship Type="http://schemas.openxmlformats.org/officeDocument/2006/relationships/sharedStrings" Target="/xl/sharedStrings.xml" Id="Rcc12e62469e045fc" /><Relationship Type="http://schemas.openxmlformats.org/officeDocument/2006/relationships/worksheet" Target="/xl/worksheets/sheet1.xml" Id="R497136fa73b74cb4" /><Relationship Type="http://schemas.openxmlformats.org/officeDocument/2006/relationships/worksheet" Target="/xl/worksheets/sheet2.xml" Id="R67ead586349542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973e1f64d649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Hourly Target vs Actual</a:t>
            </a:r>
          </a:p>
        </c:rich>
      </c:tx>
    </c:title>
    <c:plotArea>
      <c:lineChart>
        <c:grouping val="standard"/>
        <c:ser>
          <c:idx val="0"/>
          <c:order val="0"/>
          <c:tx>
            <c:v>Target pcs</c:v>
          </c:tx>
          <c:marker>
            <c:symbol val="none"/>
          </c:marker>
          <c:cat>
            <c:strRef>
              <c:f>'Production Log'!$D$2:$D$8</c:f>
              <c:strCache>
                <c:ptCount val="0"/>
              </c:strCache>
            </c:strRef>
          </c:cat>
          <c:val>
            <c:numRef>
              <c:f>'Production Log'!$E$2:$E$8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 pcs</c:v>
          </c:tx>
          <c:marker>
            <c:symbol val="none"/>
          </c:marker>
          <c:cat>
            <c:strRef>
              <c:f>'Production Log'!$D$2:$D$8</c:f>
              <c:strCache>
                <c:ptCount val="0"/>
              </c:strCache>
            </c:strRef>
          </c:cat>
          <c:val>
            <c:numRef>
              <c:f>'Production Log'!$F$2:$F$8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973e1f64d649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ionLogTable" displayName="ProductionLogTable" ref="A1:K8" headerRowCount="1" totalsRowCount="0" totalsRowShown="0">
  <x:tableColumns count="11">
    <x:tableColumn id="1" name="Date"/>
    <x:tableColumn id="2" name="Shift"/>
    <x:tableColumn id="3" name="Line"/>
    <x:tableColumn id="4" name="Hour"/>
    <x:tableColumn id="5" name="Target pcs"/>
    <x:tableColumn id="6" name="Actual pcs"/>
    <x:tableColumn id="7" name="Scrap pcs"/>
    <x:tableColumn id="8" name="Downtime min"/>
    <x:tableColumn id="9" name="Top reason"/>
    <x:tableColumn id="10" name="Achievement %"/>
    <x:tableColumn id="11" name="Scrap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98eb1172e242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8563031120e4e9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8" hidden="0" customWidth="1"/>
    <x:col min="4" max="4" width="16" hidden="0" customWidth="1"/>
    <x:col min="5" max="5" width="12" hidden="0" customWidth="1"/>
    <x:col min="6" max="6" width="12" hidden="0" customWidth="1"/>
    <x:col min="7" max="7" width="11" hidden="0" customWidth="1"/>
    <x:col min="8" max="8" width="14" hidden="0" customWidth="1"/>
    <x:col min="9" max="9" width="26" hidden="0" customWidth="1"/>
    <x:col min="10" max="10" width="14" hidden="0" customWidth="1"/>
    <x:col min="11" max="11" width="11" hidden="0" customWidth="1"/>
  </x:cols>
  <x:sheetData>
    <x:row r="1">
      <x:c r="A1" s="6" t="str">
        <x:v>Date</x:v>
      </x:c>
      <x:c r="B1" s="6" t="str">
        <x:v>Shift</x:v>
      </x:c>
      <x:c r="C1" s="6" t="str">
        <x:v>Line</x:v>
      </x:c>
      <x:c r="D1" s="6" t="str">
        <x:v>Hour</x:v>
      </x:c>
      <x:c r="E1" s="6" t="str">
        <x:v>Target pcs</x:v>
      </x:c>
      <x:c r="F1" s="6" t="str">
        <x:v>Actual pcs</x:v>
      </x:c>
      <x:c r="G1" s="6" t="str">
        <x:v>Scrap pcs</x:v>
      </x:c>
      <x:c r="H1" s="6" t="str">
        <x:v>Downtime min</x:v>
      </x:c>
      <x:c r="I1" s="6" t="str">
        <x:v>Top reason</x:v>
      </x:c>
      <x:c r="J1" s="6" t="str">
        <x:v>Achievement %</x:v>
      </x:c>
      <x:c r="K1" s="6" t="str">
        <x:v>Scrap %</x:v>
      </x:c>
    </x:row>
    <x:row r="2">
      <x:c r="A2" s="16" t="n">
        <x:v>46280</x:v>
      </x:c>
      <x:c r="B2" s="17" t="n">
        <x:v>1</x:v>
      </x:c>
      <x:c r="C2" s="17" t="str">
        <x:v>A3</x:v>
      </x:c>
      <x:c r="D2" s="17" t="str">
        <x:v>07:00-08:00</x:v>
      </x:c>
      <x:c r="E2" s="17" t="n">
        <x:v>714</x:v>
      </x:c>
      <x:c r="F2" s="17" t="n">
        <x:v>690</x:v>
      </x:c>
      <x:c r="G2" s="17" t="n">
        <x:v>4</x:v>
      </x:c>
      <x:c r="H2" s="17" t="n">
        <x:v>0</x:v>
      </x:c>
      <x:c r="I2" s="17" t="str"/>
      <x:c r="J2" s="18" t="n">
        <x:f>F2/E2</x:f>
        <x:v>0.9663865546218487</x:v>
      </x:c>
      <x:c r="K2" s="18" t="n">
        <x:f>G2/F2</x:f>
        <x:v>0.005797101449275362</x:v>
      </x:c>
    </x:row>
    <x:row r="3">
      <x:c r="A3" s="16" t="n">
        <x:v>46280</x:v>
      </x:c>
      <x:c r="B3" s="17" t="n">
        <x:v>1</x:v>
      </x:c>
      <x:c r="C3" s="17" t="str">
        <x:v>A3</x:v>
      </x:c>
      <x:c r="D3" s="17" t="str">
        <x:v>08:00-09:00</x:v>
      </x:c>
      <x:c r="E3" s="17" t="n">
        <x:v>714</x:v>
      </x:c>
      <x:c r="F3" s="17" t="n">
        <x:v>705</x:v>
      </x:c>
      <x:c r="G3" s="17" t="n">
        <x:v>3</x:v>
      </x:c>
      <x:c r="H3" s="17" t="n">
        <x:v>0</x:v>
      </x:c>
      <x:c r="I3" s="17" t="str"/>
      <x:c r="J3" s="18" t="n">
        <x:f>F3/E3</x:f>
        <x:v>0.9873949579831933</x:v>
      </x:c>
      <x:c r="K3" s="18" t="n">
        <x:f>G3/F3</x:f>
        <x:v>0.00425531914893617</x:v>
      </x:c>
    </x:row>
    <x:row r="4">
      <x:c r="A4" s="16" t="n">
        <x:v>46280</x:v>
      </x:c>
      <x:c r="B4" s="17" t="n">
        <x:v>1</x:v>
      </x:c>
      <x:c r="C4" s="17" t="str">
        <x:v>A3</x:v>
      </x:c>
      <x:c r="D4" s="17" t="str">
        <x:v>09:00-10:00</x:v>
      </x:c>
      <x:c r="E4" s="17" t="n">
        <x:v>714</x:v>
      </x:c>
      <x:c r="F4" s="17" t="n">
        <x:v>710</x:v>
      </x:c>
      <x:c r="G4" s="17" t="n">
        <x:v>5</x:v>
      </x:c>
      <x:c r="H4" s="17" t="n">
        <x:v>2</x:v>
      </x:c>
      <x:c r="I4" s="17" t="str">
        <x:v>Barcode retry</x:v>
      </x:c>
      <x:c r="J4" s="18" t="n">
        <x:f>F4/E4</x:f>
        <x:v>0.9943977591036415</x:v>
      </x:c>
      <x:c r="K4" s="18" t="n">
        <x:f>G4/F4</x:f>
        <x:v>0.007042253521126761</x:v>
      </x:c>
    </x:row>
    <x:row r="5">
      <x:c r="A5" s="16" t="n">
        <x:v>46280</x:v>
      </x:c>
      <x:c r="B5" s="17" t="n">
        <x:v>1</x:v>
      </x:c>
      <x:c r="C5" s="17" t="str">
        <x:v>A3</x:v>
      </x:c>
      <x:c r="D5" s="17" t="str">
        <x:v>10:00-11:00</x:v>
      </x:c>
      <x:c r="E5" s="17" t="n">
        <x:v>714</x:v>
      </x:c>
      <x:c r="F5" s="17" t="n">
        <x:v>655</x:v>
      </x:c>
      <x:c r="G5" s="17" t="n">
        <x:v>7</x:v>
      </x:c>
      <x:c r="H5" s="17" t="n">
        <x:v>8</x:v>
      </x:c>
      <x:c r="I5" s="17" t="str">
        <x:v>Sensor S12 false trigger</x:v>
      </x:c>
      <x:c r="J5" s="18" t="n">
        <x:f>F5/E5</x:f>
        <x:v>0.9173669467787114</x:v>
      </x:c>
      <x:c r="K5" s="18" t="n">
        <x:f>G5/F5</x:f>
        <x:v>0.010687022900763359</x:v>
      </x:c>
    </x:row>
    <x:row r="6">
      <x:c r="A6" s="16" t="n">
        <x:v>46280</x:v>
      </x:c>
      <x:c r="B6" s="17" t="n">
        <x:v>1</x:v>
      </x:c>
      <x:c r="C6" s="17" t="str">
        <x:v>A3</x:v>
      </x:c>
      <x:c r="D6" s="17" t="str">
        <x:v>11:00-12:00</x:v>
      </x:c>
      <x:c r="E6" s="17" t="n">
        <x:v>714</x:v>
      </x:c>
      <x:c r="F6" s="17" t="n">
        <x:v>700</x:v>
      </x:c>
      <x:c r="G6" s="17" t="n">
        <x:v>4</x:v>
      </x:c>
      <x:c r="H6" s="17" t="n">
        <x:v>0</x:v>
      </x:c>
      <x:c r="I6" s="17" t="str"/>
      <x:c r="J6" s="18" t="n">
        <x:f>F6/E6</x:f>
        <x:v>0.9803921568627451</x:v>
      </x:c>
      <x:c r="K6" s="18" t="n">
        <x:f>G6/F6</x:f>
        <x:v>0.005714285714285714</x:v>
      </x:c>
    </x:row>
    <x:row r="7">
      <x:c r="A7" s="16" t="n">
        <x:v>46280</x:v>
      </x:c>
      <x:c r="B7" s="17" t="n">
        <x:v>1</x:v>
      </x:c>
      <x:c r="C7" s="17" t="str">
        <x:v>A3</x:v>
      </x:c>
      <x:c r="D7" s="17" t="str">
        <x:v>12:00-13:00</x:v>
      </x:c>
      <x:c r="E7" s="17" t="n">
        <x:v>714</x:v>
      </x:c>
      <x:c r="F7" s="17" t="n">
        <x:v>675</x:v>
      </x:c>
      <x:c r="G7" s="17" t="n">
        <x:v>5</x:v>
      </x:c>
      <x:c r="H7" s="17" t="n">
        <x:v>2</x:v>
      </x:c>
      <x:c r="I7" s="17" t="str">
        <x:v>Minor jam</x:v>
      </x:c>
      <x:c r="J7" s="18" t="n">
        <x:f>F7/E7</x:f>
        <x:v>0.9453781512605042</x:v>
      </x:c>
      <x:c r="K7" s="18" t="n">
        <x:f>G7/F7</x:f>
        <x:v>0.007407407407407408</x:v>
      </x:c>
    </x:row>
    <x:row r="8">
      <x:c r="A8" s="16" t="n">
        <x:v>46280</x:v>
      </x:c>
      <x:c r="B8" s="17" t="n">
        <x:v>1</x:v>
      </x:c>
      <x:c r="C8" s="17" t="str">
        <x:v>A3</x:v>
      </x:c>
      <x:c r="D8" s="17" t="str">
        <x:v>13:00-14:00</x:v>
      </x:c>
      <x:c r="E8" s="17" t="n">
        <x:v>714</x:v>
      </x:c>
      <x:c r="F8" s="17" t="n">
        <x:v>685</x:v>
      </x:c>
      <x:c r="G8" s="17" t="n">
        <x:v>3</x:v>
      </x:c>
      <x:c r="H8" s="17" t="n">
        <x:v>6</x:v>
      </x:c>
      <x:c r="I8" s="17" t="str">
        <x:v>Changeover prep</x:v>
      </x:c>
      <x:c r="J8" s="18" t="n">
        <x:f>F8/E8</x:f>
        <x:v>0.9593837535014006</x:v>
      </x:c>
      <x:c r="K8" s="18" t="n">
        <x:f>G8/F8</x:f>
        <x:v>0.004379562043795621</x:v>
      </x:c>
    </x:row>
  </x:sheetData>
  <x:conditionalFormatting sqref="J2:J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{2E8B29EF-B2ED-52E8-8CBE-65411E6D8B12}</x14:id>
        </x:ext>
      </x:extLst>
    </x:cfRule>
  </x:conditionalFormatting>
  <x:conditionalFormatting sqref="K2:K8">
    <x:cfRule type="cellIs" dxfId="0" priority="2" operator="greaterThan">
      <x:formula>0.01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98eb1172e2425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E8B29EF-B2ED-52E8-8CBE-65411E6D8B12}">
            <x14:dataBar gradient="1">
              <x14:cfvo type="min"/>
              <x14:cfvo type="max"/>
              <x14:fillColor rgb="FF156082"/>
            </x14:dataBar>
          </x14:cfRule>
          <xm:sqref>J2:J8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" hidden="0" customWidth="1"/>
    <x:col min="4" max="4" width="18" hidden="0" customWidth="1"/>
    <x:col min="5" max="5" width="28" hidden="0" customWidth="1"/>
    <x:col min="6" max="6" width="10" hidden="0" customWidth="1"/>
  </x:cols>
  <x:sheetData>
    <x:row r="1">
      <x:c r="A1" s="23" t="str">
        <x:v>Line A3 Shift 1 - Production Summary (Synthetic)</x:v>
      </x:c>
      <x:c r="B1" s="23"/>
      <x:c r="C1" s="23"/>
      <x:c r="D1" s="23"/>
      <x:c r="E1" s="23"/>
      <x:c r="F1" s="23"/>
    </x:row>
    <x:row r="3">
      <x:c r="A3" s="6" t="str">
        <x:v>KPI</x:v>
      </x:c>
      <x:c r="B3" s="6" t="str">
        <x:v>Value</x:v>
      </x:c>
      <x:c r="D3" s="6" t="str">
        <x:v>Downtime KPI</x:v>
      </x:c>
      <x:c r="E3" s="6" t="str">
        <x:v>Value</x:v>
      </x:c>
    </x:row>
    <x:row r="4">
      <x:c r="A4" s="28" t="str">
        <x:v>Total target</x:v>
      </x:c>
      <x:c r="B4" t="n">
        <x:f>SUM('Production Log'!E2:E8)</x:f>
        <x:v>4998</x:v>
      </x:c>
      <x:c r="D4" s="28" t="str">
        <x:v>Downtime min</x:v>
      </x:c>
      <x:c r="E4" t="n">
        <x:f>SUM('Production Log'!H2:H8)</x:f>
        <x:v>18</x:v>
      </x:c>
    </x:row>
    <x:row r="5">
      <x:c r="A5" s="28" t="str">
        <x:v>Total actual</x:v>
      </x:c>
      <x:c r="B5" t="n">
        <x:f>SUM('Production Log'!F2:F8)</x:f>
        <x:v>4820</x:v>
      </x:c>
      <x:c r="D5" s="28" t="str">
        <x:v>Worst hour</x:v>
      </x:c>
      <x:c r="E5" t="str">
        <x:v>10:00-11:00</x:v>
      </x:c>
    </x:row>
    <x:row r="6">
      <x:c r="A6" s="28" t="str">
        <x:v>Achievement</x:v>
      </x:c>
      <x:c r="B6" s="14" t="n">
        <x:f>B5/B4</x:f>
        <x:v>0.9643857543017207</x:v>
      </x:c>
      <x:c r="D6" s="28" t="str">
        <x:v>Main issue</x:v>
      </x:c>
      <x:c r="E6" t="str">
        <x:v>Sensor S12 false trigger</x:v>
      </x:c>
    </x:row>
    <x:row r="7">
      <x:c r="A7" s="28" t="str">
        <x:v>Total scrap</x:v>
      </x:c>
      <x:c r="B7" t="n">
        <x:f>SUM('Production Log'!G2:G8)</x:f>
        <x:v>31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68563031120e4e9a"/>
</x:worksheet>
</file>