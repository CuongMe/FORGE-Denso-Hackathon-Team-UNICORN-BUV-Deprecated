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a2a7495e2c48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pection Results" sheetId="1" r:id="Rc430d070ee134d74"/>
    <x:sheet xmlns:r="http://schemas.openxmlformats.org/officeDocument/2006/relationships" name="Summary" sheetId="2" r:id="R2b084b5ef27247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8205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2054"/>
      </x:patternFill>
    </x:fill>
    <x:fill>
      <x:patternFill patternType="solid">
        <x:fgColor rgb="FFEAF5FF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C62828"/>
      </x:font>
      <x:fill>
        <x:patternFill patternType="solid">
          <x:bgColor rgb="FFFDE2E1"/>
        </x:patternFill>
      </x:fill>
    </x:dxf>
    <x:dxf>
      <x:font>
        <x:color rgb="FF2E7D32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df7a739ed24a34" /><Relationship Type="http://schemas.openxmlformats.org/officeDocument/2006/relationships/theme" Target="/xl/theme/theme1.xml" Id="Re553f2a2343a4a20" /><Relationship Type="http://schemas.openxmlformats.org/officeDocument/2006/relationships/sharedStrings" Target="/xl/sharedStrings.xml" Id="R368d51c648a54446" /><Relationship Type="http://schemas.openxmlformats.org/officeDocument/2006/relationships/worksheet" Target="/xl/worksheets/sheet1.xml" Id="Rc430d070ee134d74" /><Relationship Type="http://schemas.openxmlformats.org/officeDocument/2006/relationships/worksheet" Target="/xl/worksheets/sheet2.xml" Id="R2b084b5ef27247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07230b74d7d490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Terminal Height by Sample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Terminal Height mm</c:v>
          </c:tx>
          <c:cat>
            <c:strRef>
              <c:f>'Inspection Results'!$D$2:$D$13</c:f>
              <c:strCache>
                <c:ptCount val="0"/>
              </c:strCache>
            </c:strRef>
          </c:cat>
          <c:val>
            <c:numRef>
              <c:f>'Inspection Results'!$E$2:$E$13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7230b74d7d490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spectionTable" displayName="InspectionTable" ref="A1:I13" headerRowCount="1" totalsRowCount="0" totalsRowShown="0">
  <x:tableColumns count="9">
    <x:tableColumn id="1" name="Timestamp"/>
    <x:tableColumn id="2" name="Part No."/>
    <x:tableColumn id="3" name="Lot"/>
    <x:tableColumn id="4" name="Sample ID"/>
    <x:tableColumn id="5" name="Terminal Height mm"/>
    <x:tableColumn id="6" name="Spec Min"/>
    <x:tableColumn id="7" name="Spec Max"/>
    <x:tableColumn id="8" name="Result"/>
    <x:tableColumn id="9" name="Inspect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455ade6b7745a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e310e3487fb4592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5" hidden="0" customWidth="1"/>
    <x:col min="4" max="4" width="11" hidden="0" customWidth="1"/>
    <x:col min="5" max="5" width="20" hidden="0" customWidth="1"/>
    <x:col min="6" max="6" width="11" hidden="0" customWidth="1"/>
    <x:col min="7" max="7" width="11" hidden="0" customWidth="1"/>
    <x:col min="8" max="8" width="10" hidden="0" customWidth="1"/>
    <x:col min="9" max="9" width="12" hidden="0" customWidth="1"/>
  </x:cols>
  <x:sheetData>
    <x:row r="1">
      <x:c r="A1" s="6" t="str">
        <x:v>Timestamp</x:v>
      </x:c>
      <x:c r="B1" s="6" t="str">
        <x:v>Part No.</x:v>
      </x:c>
      <x:c r="C1" s="6" t="str">
        <x:v>Lot</x:v>
      </x:c>
      <x:c r="D1" s="6" t="str">
        <x:v>Sample ID</x:v>
      </x:c>
      <x:c r="E1" s="6" t="str">
        <x:v>Terminal Height mm</x:v>
      </x:c>
      <x:c r="F1" s="6" t="str">
        <x:v>Spec Min</x:v>
      </x:c>
      <x:c r="G1" s="6" t="str">
        <x:v>Spec Max</x:v>
      </x:c>
      <x:c r="H1" s="6" t="str">
        <x:v>Result</x:v>
      </x:c>
      <x:c r="I1" s="6" t="str">
        <x:v>Inspector</x:v>
      </x:c>
    </x:row>
    <x:row r="2">
      <x:c r="A2" s="12" t="n">
        <x:v>46280.00486111111</x:v>
      </x:c>
      <x:c r="B2" t="str">
        <x:v>XY-4821</x:v>
      </x:c>
      <x:c r="C2" t="str">
        <x:v>L260915-B</x:v>
      </x:c>
      <x:c r="D2" t="str">
        <x:v>S01</x:v>
      </x:c>
      <x:c r="E2" t="n">
        <x:v>1.84</x:v>
      </x:c>
      <x:c r="F2" t="n">
        <x:v>1.8</x:v>
      </x:c>
      <x:c r="G2" t="n">
        <x:v>1.9</x:v>
      </x:c>
      <x:c r="H2" t="str">
        <x:f>IF(AND(E2&gt;=F2,E2&lt;=G2),"PASS","FAIL")</x:f>
        <x:v>PASS</x:v>
      </x:c>
      <x:c r="I2" t="str">
        <x:v>QI-02</x:v>
      </x:c>
    </x:row>
    <x:row r="3">
      <x:c r="A3" s="12" t="n">
        <x:v>46280.009722222225</x:v>
      </x:c>
      <x:c r="B3" t="str">
        <x:v>XY-4821</x:v>
      </x:c>
      <x:c r="C3" t="str">
        <x:v>L260915-B</x:v>
      </x:c>
      <x:c r="D3" t="str">
        <x:v>S02</x:v>
      </x:c>
      <x:c r="E3" t="n">
        <x:v>1.82</x:v>
      </x:c>
      <x:c r="F3" t="n">
        <x:v>1.8</x:v>
      </x:c>
      <x:c r="G3" t="n">
        <x:v>1.9</x:v>
      </x:c>
      <x:c r="H3" t="str">
        <x:f>IF(AND(E3&gt;=F3,E3&lt;=G3),"PASS","FAIL")</x:f>
        <x:v>PASS</x:v>
      </x:c>
      <x:c r="I3" t="str">
        <x:v>QI-02</x:v>
      </x:c>
    </x:row>
    <x:row r="4">
      <x:c r="A4" s="12" t="n">
        <x:v>46280.01458333333</x:v>
      </x:c>
      <x:c r="B4" t="str">
        <x:v>XY-4821</x:v>
      </x:c>
      <x:c r="C4" t="str">
        <x:v>L260915-B</x:v>
      </x:c>
      <x:c r="D4" t="str">
        <x:v>S03</x:v>
      </x:c>
      <x:c r="E4" t="n">
        <x:v>1.87</x:v>
      </x:c>
      <x:c r="F4" t="n">
        <x:v>1.8</x:v>
      </x:c>
      <x:c r="G4" t="n">
        <x:v>1.9</x:v>
      </x:c>
      <x:c r="H4" t="str">
        <x:f>IF(AND(E4&gt;=F4,E4&lt;=G4),"PASS","FAIL")</x:f>
        <x:v>PASS</x:v>
      </x:c>
      <x:c r="I4" t="str">
        <x:v>QI-02</x:v>
      </x:c>
    </x:row>
    <x:row r="5">
      <x:c r="A5" s="12" t="n">
        <x:v>46280.01944444444</x:v>
      </x:c>
      <x:c r="B5" t="str">
        <x:v>XY-4821</x:v>
      </x:c>
      <x:c r="C5" t="str">
        <x:v>L260915-B</x:v>
      </x:c>
      <x:c r="D5" t="str">
        <x:v>S04</x:v>
      </x:c>
      <x:c r="E5" t="n">
        <x:v>1.79</x:v>
      </x:c>
      <x:c r="F5" t="n">
        <x:v>1.8</x:v>
      </x:c>
      <x:c r="G5" t="n">
        <x:v>1.9</x:v>
      </x:c>
      <x:c r="H5" t="str">
        <x:f>IF(AND(E5&gt;=F5,E5&lt;=G5),"PASS","FAIL")</x:f>
        <x:v>FAIL</x:v>
      </x:c>
      <x:c r="I5" t="str">
        <x:v>QI-02</x:v>
      </x:c>
    </x:row>
    <x:row r="6">
      <x:c r="A6" s="12" t="n">
        <x:v>46280.024305555555</x:v>
      </x:c>
      <x:c r="B6" t="str">
        <x:v>XY-4821</x:v>
      </x:c>
      <x:c r="C6" t="str">
        <x:v>L260915-B</x:v>
      </x:c>
      <x:c r="D6" t="str">
        <x:v>S05</x:v>
      </x:c>
      <x:c r="E6" t="n">
        <x:v>1.72</x:v>
      </x:c>
      <x:c r="F6" t="n">
        <x:v>1.8</x:v>
      </x:c>
      <x:c r="G6" t="n">
        <x:v>1.9</x:v>
      </x:c>
      <x:c r="H6" t="str">
        <x:f>IF(AND(E6&gt;=F6,E6&lt;=G6),"PASS","FAIL")</x:f>
        <x:v>FAIL</x:v>
      </x:c>
      <x:c r="I6" t="str">
        <x:v>QI-02</x:v>
      </x:c>
    </x:row>
    <x:row r="7">
      <x:c r="A7" s="12" t="n">
        <x:v>46280.02916666667</x:v>
      </x:c>
      <x:c r="B7" t="str">
        <x:v>XY-4821</x:v>
      </x:c>
      <x:c r="C7" t="str">
        <x:v>L260915-B</x:v>
      </x:c>
      <x:c r="D7" t="str">
        <x:v>S06</x:v>
      </x:c>
      <x:c r="E7" t="n">
        <x:v>1.85</x:v>
      </x:c>
      <x:c r="F7" t="n">
        <x:v>1.8</x:v>
      </x:c>
      <x:c r="G7" t="n">
        <x:v>1.9</x:v>
      </x:c>
      <x:c r="H7" t="str">
        <x:f>IF(AND(E7&gt;=F7,E7&lt;=G7),"PASS","FAIL")</x:f>
        <x:v>PASS</x:v>
      </x:c>
      <x:c r="I7" t="str">
        <x:v>QI-02</x:v>
      </x:c>
    </x:row>
    <x:row r="8">
      <x:c r="A8" s="12" t="n">
        <x:v>46280.03402777778</x:v>
      </x:c>
      <x:c r="B8" t="str">
        <x:v>XY-4821</x:v>
      </x:c>
      <x:c r="C8" t="str">
        <x:v>L260915-B</x:v>
      </x:c>
      <x:c r="D8" t="str">
        <x:v>S07</x:v>
      </x:c>
      <x:c r="E8" t="n">
        <x:v>1.88</x:v>
      </x:c>
      <x:c r="F8" t="n">
        <x:v>1.8</x:v>
      </x:c>
      <x:c r="G8" t="n">
        <x:v>1.9</x:v>
      </x:c>
      <x:c r="H8" t="str">
        <x:f>IF(AND(E8&gt;=F8,E8&lt;=G8),"PASS","FAIL")</x:f>
        <x:v>PASS</x:v>
      </x:c>
      <x:c r="I8" t="str">
        <x:v>QI-02</x:v>
      </x:c>
    </x:row>
    <x:row r="9">
      <x:c r="A9" s="12" t="n">
        <x:v>46280.03888888889</x:v>
      </x:c>
      <x:c r="B9" t="str">
        <x:v>XY-4821</x:v>
      </x:c>
      <x:c r="C9" t="str">
        <x:v>L260915-B</x:v>
      </x:c>
      <x:c r="D9" t="str">
        <x:v>S08</x:v>
      </x:c>
      <x:c r="E9" t="n">
        <x:v>1.81</x:v>
      </x:c>
      <x:c r="F9" t="n">
        <x:v>1.8</x:v>
      </x:c>
      <x:c r="G9" t="n">
        <x:v>1.9</x:v>
      </x:c>
      <x:c r="H9" t="str">
        <x:f>IF(AND(E9&gt;=F9,E9&lt;=G9),"PASS","FAIL")</x:f>
        <x:v>PASS</x:v>
      </x:c>
      <x:c r="I9" t="str">
        <x:v>QI-02</x:v>
      </x:c>
    </x:row>
    <x:row r="10">
      <x:c r="A10" s="12" t="n">
        <x:v>46280.04375</x:v>
      </x:c>
      <x:c r="B10" t="str">
        <x:v>XY-4821</x:v>
      </x:c>
      <x:c r="C10" t="str">
        <x:v>L260915-B</x:v>
      </x:c>
      <x:c r="D10" t="str">
        <x:v>S09</x:v>
      </x:c>
      <x:c r="E10" t="n">
        <x:v>1.76</x:v>
      </x:c>
      <x:c r="F10" t="n">
        <x:v>1.8</x:v>
      </x:c>
      <x:c r="G10" t="n">
        <x:v>1.9</x:v>
      </x:c>
      <x:c r="H10" t="str">
        <x:f>IF(AND(E10&gt;=F10,E10&lt;=G10),"PASS","FAIL")</x:f>
        <x:v>FAIL</x:v>
      </x:c>
      <x:c r="I10" t="str">
        <x:v>QI-02</x:v>
      </x:c>
    </x:row>
    <x:row r="11">
      <x:c r="A11" s="12" t="n">
        <x:v>46280.04861111111</x:v>
      </x:c>
      <x:c r="B11" t="str">
        <x:v>XY-4821</x:v>
      </x:c>
      <x:c r="C11" t="str">
        <x:v>L260915-B</x:v>
      </x:c>
      <x:c r="D11" t="str">
        <x:v>S10</x:v>
      </x:c>
      <x:c r="E11" t="n">
        <x:v>1.86</x:v>
      </x:c>
      <x:c r="F11" t="n">
        <x:v>1.8</x:v>
      </x:c>
      <x:c r="G11" t="n">
        <x:v>1.9</x:v>
      </x:c>
      <x:c r="H11" t="str">
        <x:f>IF(AND(E11&gt;=F11,E11&lt;=G11),"PASS","FAIL")</x:f>
        <x:v>PASS</x:v>
      </x:c>
      <x:c r="I11" t="str">
        <x:v>QI-02</x:v>
      </x:c>
    </x:row>
    <x:row r="12">
      <x:c r="A12" s="12" t="n">
        <x:v>46280.05347222222</x:v>
      </x:c>
      <x:c r="B12" t="str">
        <x:v>XY-4821</x:v>
      </x:c>
      <x:c r="C12" t="str">
        <x:v>L260915-B</x:v>
      </x:c>
      <x:c r="D12" t="str">
        <x:v>S11</x:v>
      </x:c>
      <x:c r="E12" t="n">
        <x:v>1.83</x:v>
      </x:c>
      <x:c r="F12" t="n">
        <x:v>1.8</x:v>
      </x:c>
      <x:c r="G12" t="n">
        <x:v>1.9</x:v>
      </x:c>
      <x:c r="H12" t="str">
        <x:f>IF(AND(E12&gt;=F12,E12&lt;=G12),"PASS","FAIL")</x:f>
        <x:v>PASS</x:v>
      </x:c>
      <x:c r="I12" t="str">
        <x:v>QI-02</x:v>
      </x:c>
    </x:row>
    <x:row r="13">
      <x:c r="A13" s="12" t="n">
        <x:v>46280.058333333334</x:v>
      </x:c>
      <x:c r="B13" t="str">
        <x:v>XY-4821</x:v>
      </x:c>
      <x:c r="C13" t="str">
        <x:v>L260915-B</x:v>
      </x:c>
      <x:c r="D13" t="str">
        <x:v>S12</x:v>
      </x:c>
      <x:c r="E13" t="n">
        <x:v>1.89</x:v>
      </x:c>
      <x:c r="F13" t="n">
        <x:v>1.8</x:v>
      </x:c>
      <x:c r="G13" t="n">
        <x:v>1.9</x:v>
      </x:c>
      <x:c r="H13" t="str">
        <x:f>IF(AND(E13&gt;=F13,E13&lt;=G13),"PASS","FAIL")</x:f>
        <x:v>PASS</x:v>
      </x:c>
      <x:c r="I13" t="str">
        <x:v>QI-02</x:v>
      </x:c>
    </x:row>
  </x:sheetData>
  <x:conditionalFormatting sqref="H2:H13">
    <x:cfRule type="expression" dxfId="0" priority="1">
      <x:formula>H2="FAIL"</x:formula>
    </x:cfRule>
    <x:cfRule type="expression" dxfId="1" priority="2">
      <x:formula>H2="PASS"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8455ade6b7745a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15" t="str">
        <x:v>Quality Inspection Summary (Synthetic)</x:v>
      </x:c>
      <x:c r="B1" s="15"/>
      <x:c r="C1" s="15"/>
      <x:c r="D1" s="15"/>
    </x:row>
    <x:row r="3">
      <x:c r="A3" s="6" t="str">
        <x:v>KPI</x:v>
      </x:c>
      <x:c r="B3" s="6" t="str">
        <x:v>Value</x:v>
      </x:c>
    </x:row>
    <x:row r="4">
      <x:c r="A4" s="20" t="str">
        <x:v>Samples</x:v>
      </x:c>
      <x:c r="B4" t="n">
        <x:f>COUNTA('Inspection Results'!D2:D13)</x:f>
        <x:v>12</x:v>
      </x:c>
    </x:row>
    <x:row r="5">
      <x:c r="A5" s="20" t="str">
        <x:v>Pass</x:v>
      </x:c>
      <x:c r="B5" t="n">
        <x:f>COUNTIF('Inspection Results'!H2:H13,"PASS")</x:f>
        <x:v>9</x:v>
      </x:c>
    </x:row>
    <x:row r="6">
      <x:c r="A6" s="20" t="str">
        <x:v>Fail</x:v>
      </x:c>
      <x:c r="B6" t="n">
        <x:f>COUNTIF('Inspection Results'!H2:H13,"FAIL")</x:f>
        <x:v>3</x:v>
      </x:c>
    </x:row>
    <x:row r="7">
      <x:c r="A7" s="20" t="str">
        <x:v>Pass rate</x:v>
      </x:c>
      <x:c r="B7" s="24" t="n">
        <x:f>B5/B4</x:f>
        <x:v>0.75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fe310e3487fb4592"/>
</x:worksheet>
</file>